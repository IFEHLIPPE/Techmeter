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preencher" sheetId="1" state="visible" r:id="rId1"/>
    <sheet name="Teste D0" sheetId="2" state="visible" r:id="rId2"/>
    <sheet name="Resumo" sheetId="3" state="visible" r:id="rId3"/>
    <sheet name="Prioridade Victor" sheetId="4" state="visible" r:id="rId4"/>
  </sheets>
  <definedNames>
    <definedName name="_xlnm._FilterDatabase" localSheetId="1" hidden="1">'Teste D0'!$A$1:$J$81</definedName>
    <definedName name="_xlnm._FilterDatabase" localSheetId="3" hidden="1">'Prioridade Victor'!$A$3:$H$60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164" fontId="1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9" fontId="1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GEO Ciclo 1 — Eletromagnético: teste dos prompts</t>
        </is>
      </c>
      <c r="B1" s="2" t="n"/>
    </row>
    <row r="2">
      <c r="A2" s="2" t="inlineStr"/>
      <c r="B2" s="2" t="n"/>
    </row>
    <row r="3">
      <c r="A3" s="3" t="inlineStr">
        <is>
          <t>Quem</t>
        </is>
      </c>
      <c r="B3" s="2" t="inlineStr">
        <is>
          <t>Felippe e Mariana (teste dos prompts) · Victor (aba "Prioridade Victor")</t>
        </is>
      </c>
    </row>
    <row r="4">
      <c r="A4" s="3" t="inlineStr">
        <is>
          <t>Origem</t>
        </is>
      </c>
      <c r="B4" s="2" t="inlineStr">
        <is>
          <t>Documento "GEO Ciclo1-Eletromagnetico - Scripts p videos" (Mariana Costa, 02/10/2026)</t>
        </is>
      </c>
    </row>
    <row r="5">
      <c r="A5" s="3" t="inlineStr">
        <is>
          <t>Células para preencher</t>
        </is>
      </c>
      <c r="B5" s="2" t="inlineStr">
        <is>
          <t>Somente as células AMARELAS. As demais são fixas ou calculadas.</t>
        </is>
      </c>
    </row>
    <row r="6">
      <c r="A6" s="2" t="inlineStr"/>
      <c r="B6" s="2" t="n"/>
    </row>
    <row r="7">
      <c r="A7" s="4" t="inlineStr">
        <is>
          <t>Como testar</t>
        </is>
      </c>
      <c r="B7" s="2" t="n"/>
    </row>
    <row r="8">
      <c r="A8" s="3" t="inlineStr">
        <is>
          <t>1</t>
        </is>
      </c>
      <c r="B8" s="2" t="inlineStr">
        <is>
          <t>Abra a plataforma em janela anônima (Ctrl+Shift+N), deslogado ou sem histórico.</t>
        </is>
      </c>
    </row>
    <row r="9">
      <c r="A9" s="3" t="inlineStr">
        <is>
          <t>2</t>
        </is>
      </c>
      <c r="B9" s="2" t="inlineStr">
        <is>
          <t>Uma conversa NOVA para cada prompt. Cole o texto EXATO da coluna "Prompt". Não faça perguntas de acompanhamento.</t>
        </is>
      </c>
    </row>
    <row r="10">
      <c r="A10" s="3" t="inlineStr">
        <is>
          <t>3</t>
        </is>
      </c>
      <c r="B10" s="2" t="inlineStr">
        <is>
          <t>Plataformas: ChatGPT (com busca), Google (AI Mode / AI Overviews), Gemini e Copilot.</t>
        </is>
      </c>
    </row>
    <row r="11">
      <c r="A11" s="3" t="inlineStr">
        <is>
          <t>4</t>
        </is>
      </c>
      <c r="B11" s="2" t="inlineStr">
        <is>
          <t>"Techmeter apareceu?" = Sim se a resposta cita a marca OU tem link para techmeter.com.br.</t>
        </is>
      </c>
    </row>
    <row r="12">
      <c r="A12" s="3" t="inlineStr">
        <is>
          <t>5</t>
        </is>
      </c>
      <c r="B12" s="2" t="inlineStr">
        <is>
          <t>Em "Concorrentes / fontes citadas", liste marcas e sites separados por ponto e vírgula.</t>
        </is>
      </c>
    </row>
    <row r="13">
      <c r="A13" s="3" t="inlineStr">
        <is>
          <t>6</t>
        </is>
      </c>
      <c r="B13" s="2" t="inlineStr">
        <is>
          <t>Em "Observações", anote o que a resposta explica e a Techmeter não tem no site (lacunas).</t>
        </is>
      </c>
    </row>
    <row r="14">
      <c r="A14" s="3" t="inlineStr">
        <is>
          <t>7</t>
        </is>
      </c>
      <c r="B14" s="2" t="inlineStr">
        <is>
          <t>Se possível, tire print de cada resposta.</t>
        </is>
      </c>
    </row>
    <row r="15">
      <c r="A15" s="2" t="inlineStr"/>
      <c r="B15" s="2" t="n"/>
    </row>
    <row r="16">
      <c r="A16" s="4" t="inlineStr">
        <is>
          <t>Exemplo de linha preenchida</t>
        </is>
      </c>
      <c r="B16" s="2" t="n"/>
    </row>
    <row r="17">
      <c r="A17" s="3" t="inlineStr">
        <is>
          <t>Data</t>
        </is>
      </c>
      <c r="B17" s="2" t="inlineStr">
        <is>
          <t>02/10/2026</t>
        </is>
      </c>
    </row>
    <row r="18">
      <c r="A18" s="3" t="inlineStr">
        <is>
          <t>Techmeter apareceu?</t>
        </is>
      </c>
      <c r="B18" s="2" t="inlineStr">
        <is>
          <t>Não</t>
        </is>
      </c>
    </row>
    <row r="19">
      <c r="A19" s="3" t="inlineStr">
        <is>
          <t>Concorrentes / fontes citadas</t>
        </is>
      </c>
      <c r="B19" s="2" t="inlineStr">
        <is>
          <t>Endress+Hauser; Conaut; Siemens; wikipedia.org</t>
        </is>
      </c>
    </row>
    <row r="20">
      <c r="A20" s="3" t="inlineStr">
        <is>
          <t>Página Techmeter encontrada</t>
        </is>
      </c>
      <c r="B20" s="2" t="inlineStr">
        <is>
          <t>(vazio quando não aparece)</t>
        </is>
      </c>
    </row>
    <row r="21">
      <c r="A21" s="3" t="inlineStr">
        <is>
          <t>Observações</t>
        </is>
      </c>
      <c r="B21" s="2" t="inlineStr">
        <is>
          <t>Resposta cita 5D a montante e 3D a jusante; nossa página não fala de trecho reto.</t>
        </is>
      </c>
    </row>
    <row r="22">
      <c r="A22" s="2" t="inlineStr"/>
      <c r="B22" s="2" t="n"/>
    </row>
    <row r="23">
      <c r="A23" s="3" t="inlineStr">
        <is>
          <t>Resultado</t>
        </is>
      </c>
      <c r="B23" s="2" t="inlineStr">
        <is>
          <t>A aba "Resumo" calcula o AI Citation Share automaticamente.</t>
        </is>
      </c>
    </row>
    <row r="24">
      <c r="A24" s="3" t="inlineStr">
        <is>
          <t>Nota</t>
        </is>
      </c>
      <c r="B24" s="2" t="inlineStr">
        <is>
          <t>Prompt 14: o documento original dizia "minerção"; corrigido para "mineração" para o teste.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5" customWidth="1" min="3" max="3"/>
    <col width="28" customWidth="1" min="4" max="4"/>
    <col width="12" customWidth="1" min="5" max="5"/>
    <col width="12" customWidth="1" min="6" max="6"/>
    <col width="13" customWidth="1" min="7" max="7"/>
    <col width="38" customWidth="1" min="8" max="8"/>
    <col width="30" customWidth="1" min="9" max="9"/>
    <col width="48" customWidth="1" min="10" max="10"/>
  </cols>
  <sheetData>
    <row r="1" ht="32" customHeight="1">
      <c r="A1" s="5" t="inlineStr">
        <is>
          <t>#</t>
        </is>
      </c>
      <c r="B1" s="5" t="inlineStr">
        <is>
          <t>Prompt (texto exato)</t>
        </is>
      </c>
      <c r="C1" s="5" t="inlineStr">
        <is>
          <t>Intenção</t>
        </is>
      </c>
      <c r="D1" s="5" t="inlineStr">
        <is>
          <t>Página que deve responder</t>
        </is>
      </c>
      <c r="E1" s="5" t="inlineStr">
        <is>
          <t>Plataforma</t>
        </is>
      </c>
      <c r="F1" s="5" t="inlineStr">
        <is>
          <t>Data</t>
        </is>
      </c>
      <c r="G1" s="5" t="inlineStr">
        <is>
          <t>Techmeter apareceu?</t>
        </is>
      </c>
      <c r="H1" s="5" t="inlineStr">
        <is>
          <t>Concorrentes / fontes citadas</t>
        </is>
      </c>
      <c r="I1" s="5" t="inlineStr">
        <is>
          <t>Página Techmeter encontrada</t>
        </is>
      </c>
      <c r="J1" s="5" t="inlineStr">
        <is>
          <t>Observações</t>
        </is>
      </c>
    </row>
    <row r="2">
      <c r="A2" s="6" t="n">
        <v>1</v>
      </c>
      <c r="B2" s="6" t="inlineStr">
        <is>
          <t>Como funciona um medidor de vazão eletromagnético?</t>
        </is>
      </c>
      <c r="C2" s="6" t="inlineStr">
        <is>
          <t>Informacional</t>
        </is>
      </c>
      <c r="D2" s="6" t="inlineStr">
        <is>
          <t>Hub eletromagnético</t>
        </is>
      </c>
      <c r="E2" s="6" t="inlineStr">
        <is>
          <t>ChatGPT</t>
        </is>
      </c>
      <c r="F2" s="7" t="n"/>
      <c r="G2" s="8" t="n"/>
      <c r="H2" s="8" t="n"/>
      <c r="I2" s="8" t="n"/>
      <c r="J2" s="8" t="n"/>
    </row>
    <row r="3">
      <c r="A3" s="6" t="n">
        <v>1</v>
      </c>
      <c r="B3" s="6" t="inlineStr">
        <is>
          <t>Como funciona um medidor de vazão eletromagnético?</t>
        </is>
      </c>
      <c r="C3" s="6" t="inlineStr">
        <is>
          <t>Informacional</t>
        </is>
      </c>
      <c r="D3" s="6" t="inlineStr">
        <is>
          <t>Hub eletromagnético</t>
        </is>
      </c>
      <c r="E3" s="6" t="inlineStr">
        <is>
          <t>Google AI</t>
        </is>
      </c>
      <c r="F3" s="7" t="n"/>
      <c r="G3" s="8" t="n"/>
      <c r="H3" s="8" t="n"/>
      <c r="I3" s="8" t="n"/>
      <c r="J3" s="8" t="n"/>
    </row>
    <row r="4">
      <c r="A4" s="6" t="n">
        <v>1</v>
      </c>
      <c r="B4" s="6" t="inlineStr">
        <is>
          <t>Como funciona um medidor de vazão eletromagnético?</t>
        </is>
      </c>
      <c r="C4" s="6" t="inlineStr">
        <is>
          <t>Informacional</t>
        </is>
      </c>
      <c r="D4" s="6" t="inlineStr">
        <is>
          <t>Hub eletromagnético</t>
        </is>
      </c>
      <c r="E4" s="6" t="inlineStr">
        <is>
          <t>Gemini</t>
        </is>
      </c>
      <c r="F4" s="7" t="n"/>
      <c r="G4" s="8" t="n"/>
      <c r="H4" s="8" t="n"/>
      <c r="I4" s="8" t="n"/>
      <c r="J4" s="8" t="n"/>
    </row>
    <row r="5">
      <c r="A5" s="6" t="n">
        <v>1</v>
      </c>
      <c r="B5" s="6" t="inlineStr">
        <is>
          <t>Como funciona um medidor de vazão eletromagnético?</t>
        </is>
      </c>
      <c r="C5" s="6" t="inlineStr">
        <is>
          <t>Informacional</t>
        </is>
      </c>
      <c r="D5" s="6" t="inlineStr">
        <is>
          <t>Hub eletromagnético</t>
        </is>
      </c>
      <c r="E5" s="6" t="inlineStr">
        <is>
          <t>Copilot</t>
        </is>
      </c>
      <c r="F5" s="7" t="n"/>
      <c r="G5" s="8" t="n"/>
      <c r="H5" s="8" t="n"/>
      <c r="I5" s="8" t="n"/>
      <c r="J5" s="8" t="n"/>
    </row>
    <row r="6">
      <c r="A6" s="6" t="n">
        <v>2</v>
      </c>
      <c r="B6" s="6" t="inlineStr">
        <is>
          <t>Medidor eletromagnético precisa de trecho reto? Quanto?</t>
        </is>
      </c>
      <c r="C6" s="6" t="inlineStr">
        <is>
          <t>Informacional</t>
        </is>
      </c>
      <c r="D6" s="6" t="inlineStr">
        <is>
          <t>Guia de instalação</t>
        </is>
      </c>
      <c r="E6" s="6" t="inlineStr">
        <is>
          <t>ChatGPT</t>
        </is>
      </c>
      <c r="F6" s="7" t="n"/>
      <c r="G6" s="8" t="n"/>
      <c r="H6" s="8" t="n"/>
      <c r="I6" s="8" t="n"/>
      <c r="J6" s="8" t="n"/>
    </row>
    <row r="7">
      <c r="A7" s="6" t="n">
        <v>2</v>
      </c>
      <c r="B7" s="6" t="inlineStr">
        <is>
          <t>Medidor eletromagnético precisa de trecho reto? Quanto?</t>
        </is>
      </c>
      <c r="C7" s="6" t="inlineStr">
        <is>
          <t>Informacional</t>
        </is>
      </c>
      <c r="D7" s="6" t="inlineStr">
        <is>
          <t>Guia de instalação</t>
        </is>
      </c>
      <c r="E7" s="6" t="inlineStr">
        <is>
          <t>Google AI</t>
        </is>
      </c>
      <c r="F7" s="7" t="n"/>
      <c r="G7" s="8" t="n"/>
      <c r="H7" s="8" t="n"/>
      <c r="I7" s="8" t="n"/>
      <c r="J7" s="8" t="n"/>
    </row>
    <row r="8">
      <c r="A8" s="6" t="n">
        <v>2</v>
      </c>
      <c r="B8" s="6" t="inlineStr">
        <is>
          <t>Medidor eletromagnético precisa de trecho reto? Quanto?</t>
        </is>
      </c>
      <c r="C8" s="6" t="inlineStr">
        <is>
          <t>Informacional</t>
        </is>
      </c>
      <c r="D8" s="6" t="inlineStr">
        <is>
          <t>Guia de instalação</t>
        </is>
      </c>
      <c r="E8" s="6" t="inlineStr">
        <is>
          <t>Gemini</t>
        </is>
      </c>
      <c r="F8" s="7" t="n"/>
      <c r="G8" s="8" t="n"/>
      <c r="H8" s="8" t="n"/>
      <c r="I8" s="8" t="n"/>
      <c r="J8" s="8" t="n"/>
    </row>
    <row r="9">
      <c r="A9" s="6" t="n">
        <v>2</v>
      </c>
      <c r="B9" s="6" t="inlineStr">
        <is>
          <t>Medidor eletromagnético precisa de trecho reto? Quanto?</t>
        </is>
      </c>
      <c r="C9" s="6" t="inlineStr">
        <is>
          <t>Informacional</t>
        </is>
      </c>
      <c r="D9" s="6" t="inlineStr">
        <is>
          <t>Guia de instalação</t>
        </is>
      </c>
      <c r="E9" s="6" t="inlineStr">
        <is>
          <t>Copilot</t>
        </is>
      </c>
      <c r="F9" s="7" t="n"/>
      <c r="G9" s="8" t="n"/>
      <c r="H9" s="8" t="n"/>
      <c r="I9" s="8" t="n"/>
      <c r="J9" s="8" t="n"/>
    </row>
    <row r="10">
      <c r="A10" s="6" t="n">
        <v>3</v>
      </c>
      <c r="B10" s="6" t="inlineStr">
        <is>
          <t>Qual a condutividade mínima para usar medidor eletromagnético?</t>
        </is>
      </c>
      <c r="C10" s="6" t="inlineStr">
        <is>
          <t>Informacional</t>
        </is>
      </c>
      <c r="D10" s="6" t="inlineStr">
        <is>
          <t>Hub + FAQ</t>
        </is>
      </c>
      <c r="E10" s="6" t="inlineStr">
        <is>
          <t>ChatGPT</t>
        </is>
      </c>
      <c r="F10" s="7" t="n"/>
      <c r="G10" s="8" t="n"/>
      <c r="H10" s="8" t="n"/>
      <c r="I10" s="8" t="n"/>
      <c r="J10" s="8" t="n"/>
    </row>
    <row r="11">
      <c r="A11" s="6" t="n">
        <v>3</v>
      </c>
      <c r="B11" s="6" t="inlineStr">
        <is>
          <t>Qual a condutividade mínima para usar medidor eletromagnético?</t>
        </is>
      </c>
      <c r="C11" s="6" t="inlineStr">
        <is>
          <t>Informacional</t>
        </is>
      </c>
      <c r="D11" s="6" t="inlineStr">
        <is>
          <t>Hub + FAQ</t>
        </is>
      </c>
      <c r="E11" s="6" t="inlineStr">
        <is>
          <t>Google AI</t>
        </is>
      </c>
      <c r="F11" s="7" t="n"/>
      <c r="G11" s="8" t="n"/>
      <c r="H11" s="8" t="n"/>
      <c r="I11" s="8" t="n"/>
      <c r="J11" s="8" t="n"/>
    </row>
    <row r="12">
      <c r="A12" s="6" t="n">
        <v>3</v>
      </c>
      <c r="B12" s="6" t="inlineStr">
        <is>
          <t>Qual a condutividade mínima para usar medidor eletromagnético?</t>
        </is>
      </c>
      <c r="C12" s="6" t="inlineStr">
        <is>
          <t>Informacional</t>
        </is>
      </c>
      <c r="D12" s="6" t="inlineStr">
        <is>
          <t>Hub + FAQ</t>
        </is>
      </c>
      <c r="E12" s="6" t="inlineStr">
        <is>
          <t>Gemini</t>
        </is>
      </c>
      <c r="F12" s="7" t="n"/>
      <c r="G12" s="8" t="n"/>
      <c r="H12" s="8" t="n"/>
      <c r="I12" s="8" t="n"/>
      <c r="J12" s="8" t="n"/>
    </row>
    <row r="13">
      <c r="A13" s="6" t="n">
        <v>3</v>
      </c>
      <c r="B13" s="6" t="inlineStr">
        <is>
          <t>Qual a condutividade mínima para usar medidor eletromagnético?</t>
        </is>
      </c>
      <c r="C13" s="6" t="inlineStr">
        <is>
          <t>Informacional</t>
        </is>
      </c>
      <c r="D13" s="6" t="inlineStr">
        <is>
          <t>Hub + FAQ</t>
        </is>
      </c>
      <c r="E13" s="6" t="inlineStr">
        <is>
          <t>Copilot</t>
        </is>
      </c>
      <c r="F13" s="7" t="n"/>
      <c r="G13" s="8" t="n"/>
      <c r="H13" s="8" t="n"/>
      <c r="I13" s="8" t="n"/>
      <c r="J13" s="8" t="n"/>
    </row>
    <row r="14">
      <c r="A14" s="6" t="n">
        <v>4</v>
      </c>
      <c r="B14" s="6" t="inlineStr">
        <is>
          <t>Por que o medidor eletromagnético precisa de aterramento?</t>
        </is>
      </c>
      <c r="C14" s="6" t="inlineStr">
        <is>
          <t>Informacional</t>
        </is>
      </c>
      <c r="D14" s="6" t="inlineStr">
        <is>
          <t>Guia de instalação</t>
        </is>
      </c>
      <c r="E14" s="6" t="inlineStr">
        <is>
          <t>ChatGPT</t>
        </is>
      </c>
      <c r="F14" s="7" t="n"/>
      <c r="G14" s="8" t="n"/>
      <c r="H14" s="8" t="n"/>
      <c r="I14" s="8" t="n"/>
      <c r="J14" s="8" t="n"/>
    </row>
    <row r="15">
      <c r="A15" s="6" t="n">
        <v>4</v>
      </c>
      <c r="B15" s="6" t="inlineStr">
        <is>
          <t>Por que o medidor eletromagnético precisa de aterramento?</t>
        </is>
      </c>
      <c r="C15" s="6" t="inlineStr">
        <is>
          <t>Informacional</t>
        </is>
      </c>
      <c r="D15" s="6" t="inlineStr">
        <is>
          <t>Guia de instalação</t>
        </is>
      </c>
      <c r="E15" s="6" t="inlineStr">
        <is>
          <t>Google AI</t>
        </is>
      </c>
      <c r="F15" s="7" t="n"/>
      <c r="G15" s="8" t="n"/>
      <c r="H15" s="8" t="n"/>
      <c r="I15" s="8" t="n"/>
      <c r="J15" s="8" t="n"/>
    </row>
    <row r="16">
      <c r="A16" s="6" t="n">
        <v>4</v>
      </c>
      <c r="B16" s="6" t="inlineStr">
        <is>
          <t>Por que o medidor eletromagnético precisa de aterramento?</t>
        </is>
      </c>
      <c r="C16" s="6" t="inlineStr">
        <is>
          <t>Informacional</t>
        </is>
      </c>
      <c r="D16" s="6" t="inlineStr">
        <is>
          <t>Guia de instalação</t>
        </is>
      </c>
      <c r="E16" s="6" t="inlineStr">
        <is>
          <t>Gemini</t>
        </is>
      </c>
      <c r="F16" s="7" t="n"/>
      <c r="G16" s="8" t="n"/>
      <c r="H16" s="8" t="n"/>
      <c r="I16" s="8" t="n"/>
      <c r="J16" s="8" t="n"/>
    </row>
    <row r="17">
      <c r="A17" s="6" t="n">
        <v>4</v>
      </c>
      <c r="B17" s="6" t="inlineStr">
        <is>
          <t>Por que o medidor eletromagnético precisa de aterramento?</t>
        </is>
      </c>
      <c r="C17" s="6" t="inlineStr">
        <is>
          <t>Informacional</t>
        </is>
      </c>
      <c r="D17" s="6" t="inlineStr">
        <is>
          <t>Guia de instalação</t>
        </is>
      </c>
      <c r="E17" s="6" t="inlineStr">
        <is>
          <t>Copilot</t>
        </is>
      </c>
      <c r="F17" s="7" t="n"/>
      <c r="G17" s="8" t="n"/>
      <c r="H17" s="8" t="n"/>
      <c r="I17" s="8" t="n"/>
      <c r="J17" s="8" t="n"/>
    </row>
    <row r="18">
      <c r="A18" s="6" t="n">
        <v>5</v>
      </c>
      <c r="B18" s="6" t="inlineStr">
        <is>
          <t>Qual medidor de vazão usar para água com sólidos?</t>
        </is>
      </c>
      <c r="C18" s="6" t="inlineStr">
        <is>
          <t>Seleção</t>
        </is>
      </c>
      <c r="D18" s="6" t="inlineStr">
        <is>
          <t>Hub + aplicação efluentes</t>
        </is>
      </c>
      <c r="E18" s="6" t="inlineStr">
        <is>
          <t>ChatGPT</t>
        </is>
      </c>
      <c r="F18" s="7" t="n"/>
      <c r="G18" s="8" t="n"/>
      <c r="H18" s="8" t="n"/>
      <c r="I18" s="8" t="n"/>
      <c r="J18" s="8" t="n"/>
    </row>
    <row r="19">
      <c r="A19" s="6" t="n">
        <v>5</v>
      </c>
      <c r="B19" s="6" t="inlineStr">
        <is>
          <t>Qual medidor de vazão usar para água com sólidos?</t>
        </is>
      </c>
      <c r="C19" s="6" t="inlineStr">
        <is>
          <t>Seleção</t>
        </is>
      </c>
      <c r="D19" s="6" t="inlineStr">
        <is>
          <t>Hub + aplicação efluentes</t>
        </is>
      </c>
      <c r="E19" s="6" t="inlineStr">
        <is>
          <t>Google AI</t>
        </is>
      </c>
      <c r="F19" s="7" t="n"/>
      <c r="G19" s="8" t="n"/>
      <c r="H19" s="8" t="n"/>
      <c r="I19" s="8" t="n"/>
      <c r="J19" s="8" t="n"/>
    </row>
    <row r="20">
      <c r="A20" s="6" t="n">
        <v>5</v>
      </c>
      <c r="B20" s="6" t="inlineStr">
        <is>
          <t>Qual medidor de vazão usar para água com sólidos?</t>
        </is>
      </c>
      <c r="C20" s="6" t="inlineStr">
        <is>
          <t>Seleção</t>
        </is>
      </c>
      <c r="D20" s="6" t="inlineStr">
        <is>
          <t>Hub + aplicação efluentes</t>
        </is>
      </c>
      <c r="E20" s="6" t="inlineStr">
        <is>
          <t>Gemini</t>
        </is>
      </c>
      <c r="F20" s="7" t="n"/>
      <c r="G20" s="8" t="n"/>
      <c r="H20" s="8" t="n"/>
      <c r="I20" s="8" t="n"/>
      <c r="J20" s="8" t="n"/>
    </row>
    <row r="21">
      <c r="A21" s="6" t="n">
        <v>5</v>
      </c>
      <c r="B21" s="6" t="inlineStr">
        <is>
          <t>Qual medidor de vazão usar para água com sólidos?</t>
        </is>
      </c>
      <c r="C21" s="6" t="inlineStr">
        <is>
          <t>Seleção</t>
        </is>
      </c>
      <c r="D21" s="6" t="inlineStr">
        <is>
          <t>Hub + aplicação efluentes</t>
        </is>
      </c>
      <c r="E21" s="6" t="inlineStr">
        <is>
          <t>Copilot</t>
        </is>
      </c>
      <c r="F21" s="7" t="n"/>
      <c r="G21" s="8" t="n"/>
      <c r="H21" s="8" t="n"/>
      <c r="I21" s="8" t="n"/>
      <c r="J21" s="8" t="n"/>
    </row>
    <row r="22">
      <c r="A22" s="6" t="n">
        <v>6</v>
      </c>
      <c r="B22" s="6" t="inlineStr">
        <is>
          <t>Como escolher o revestimento de um medidor eletromagnético?</t>
        </is>
      </c>
      <c r="C22" s="6" t="inlineStr">
        <is>
          <t>Seleção</t>
        </is>
      </c>
      <c r="D22" s="6" t="inlineStr">
        <is>
          <t>Guia de revestimentos e eletrodos</t>
        </is>
      </c>
      <c r="E22" s="6" t="inlineStr">
        <is>
          <t>ChatGPT</t>
        </is>
      </c>
      <c r="F22" s="7" t="n"/>
      <c r="G22" s="8" t="n"/>
      <c r="H22" s="8" t="n"/>
      <c r="I22" s="8" t="n"/>
      <c r="J22" s="8" t="n"/>
    </row>
    <row r="23">
      <c r="A23" s="6" t="n">
        <v>6</v>
      </c>
      <c r="B23" s="6" t="inlineStr">
        <is>
          <t>Como escolher o revestimento de um medidor eletromagnético?</t>
        </is>
      </c>
      <c r="C23" s="6" t="inlineStr">
        <is>
          <t>Seleção</t>
        </is>
      </c>
      <c r="D23" s="6" t="inlineStr">
        <is>
          <t>Guia de revestimentos e eletrodos</t>
        </is>
      </c>
      <c r="E23" s="6" t="inlineStr">
        <is>
          <t>Google AI</t>
        </is>
      </c>
      <c r="F23" s="7" t="n"/>
      <c r="G23" s="8" t="n"/>
      <c r="H23" s="8" t="n"/>
      <c r="I23" s="8" t="n"/>
      <c r="J23" s="8" t="n"/>
    </row>
    <row r="24">
      <c r="A24" s="6" t="n">
        <v>6</v>
      </c>
      <c r="B24" s="6" t="inlineStr">
        <is>
          <t>Como escolher o revestimento de um medidor eletromagnético?</t>
        </is>
      </c>
      <c r="C24" s="6" t="inlineStr">
        <is>
          <t>Seleção</t>
        </is>
      </c>
      <c r="D24" s="6" t="inlineStr">
        <is>
          <t>Guia de revestimentos e eletrodos</t>
        </is>
      </c>
      <c r="E24" s="6" t="inlineStr">
        <is>
          <t>Gemini</t>
        </is>
      </c>
      <c r="F24" s="7" t="n"/>
      <c r="G24" s="8" t="n"/>
      <c r="H24" s="8" t="n"/>
      <c r="I24" s="8" t="n"/>
      <c r="J24" s="8" t="n"/>
    </row>
    <row r="25">
      <c r="A25" s="6" t="n">
        <v>6</v>
      </c>
      <c r="B25" s="6" t="inlineStr">
        <is>
          <t>Como escolher o revestimento de um medidor eletromagnético?</t>
        </is>
      </c>
      <c r="C25" s="6" t="inlineStr">
        <is>
          <t>Seleção</t>
        </is>
      </c>
      <c r="D25" s="6" t="inlineStr">
        <is>
          <t>Guia de revestimentos e eletrodos</t>
        </is>
      </c>
      <c r="E25" s="6" t="inlineStr">
        <is>
          <t>Copilot</t>
        </is>
      </c>
      <c r="F25" s="7" t="n"/>
      <c r="G25" s="8" t="n"/>
      <c r="H25" s="8" t="n"/>
      <c r="I25" s="8" t="n"/>
      <c r="J25" s="8" t="n"/>
    </row>
    <row r="26">
      <c r="A26" s="6" t="n">
        <v>7</v>
      </c>
      <c r="B26" s="6" t="inlineStr">
        <is>
          <t>Como dimensionar um medidor eletromagnético (qual DN escolher)?</t>
        </is>
      </c>
      <c r="C26" s="6" t="inlineStr">
        <is>
          <t>Seleção</t>
        </is>
      </c>
      <c r="D26" s="6" t="inlineStr">
        <is>
          <t>Guia de dimensionamento</t>
        </is>
      </c>
      <c r="E26" s="6" t="inlineStr">
        <is>
          <t>ChatGPT</t>
        </is>
      </c>
      <c r="F26" s="7" t="n"/>
      <c r="G26" s="8" t="n"/>
      <c r="H26" s="8" t="n"/>
      <c r="I26" s="8" t="n"/>
      <c r="J26" s="8" t="n"/>
    </row>
    <row r="27">
      <c r="A27" s="6" t="n">
        <v>7</v>
      </c>
      <c r="B27" s="6" t="inlineStr">
        <is>
          <t>Como dimensionar um medidor eletromagnético (qual DN escolher)?</t>
        </is>
      </c>
      <c r="C27" s="6" t="inlineStr">
        <is>
          <t>Seleção</t>
        </is>
      </c>
      <c r="D27" s="6" t="inlineStr">
        <is>
          <t>Guia de dimensionamento</t>
        </is>
      </c>
      <c r="E27" s="6" t="inlineStr">
        <is>
          <t>Google AI</t>
        </is>
      </c>
      <c r="F27" s="7" t="n"/>
      <c r="G27" s="8" t="n"/>
      <c r="H27" s="8" t="n"/>
      <c r="I27" s="8" t="n"/>
      <c r="J27" s="8" t="n"/>
    </row>
    <row r="28">
      <c r="A28" s="6" t="n">
        <v>7</v>
      </c>
      <c r="B28" s="6" t="inlineStr">
        <is>
          <t>Como dimensionar um medidor eletromagnético (qual DN escolher)?</t>
        </is>
      </c>
      <c r="C28" s="6" t="inlineStr">
        <is>
          <t>Seleção</t>
        </is>
      </c>
      <c r="D28" s="6" t="inlineStr">
        <is>
          <t>Guia de dimensionamento</t>
        </is>
      </c>
      <c r="E28" s="6" t="inlineStr">
        <is>
          <t>Gemini</t>
        </is>
      </c>
      <c r="F28" s="7" t="n"/>
      <c r="G28" s="8" t="n"/>
      <c r="H28" s="8" t="n"/>
      <c r="I28" s="8" t="n"/>
      <c r="J28" s="8" t="n"/>
    </row>
    <row r="29">
      <c r="A29" s="6" t="n">
        <v>7</v>
      </c>
      <c r="B29" s="6" t="inlineStr">
        <is>
          <t>Como dimensionar um medidor eletromagnético (qual DN escolher)?</t>
        </is>
      </c>
      <c r="C29" s="6" t="inlineStr">
        <is>
          <t>Seleção</t>
        </is>
      </c>
      <c r="D29" s="6" t="inlineStr">
        <is>
          <t>Guia de dimensionamento</t>
        </is>
      </c>
      <c r="E29" s="6" t="inlineStr">
        <is>
          <t>Copilot</t>
        </is>
      </c>
      <c r="F29" s="7" t="n"/>
      <c r="G29" s="8" t="n"/>
      <c r="H29" s="8" t="n"/>
      <c r="I29" s="8" t="n"/>
      <c r="J29" s="8" t="n"/>
    </row>
    <row r="30">
      <c r="A30" s="6" t="n">
        <v>8</v>
      </c>
      <c r="B30" s="6" t="inlineStr">
        <is>
          <t>Qual material de eletrodo usar para ácidos e produtos corrosivos?</t>
        </is>
      </c>
      <c r="C30" s="6" t="inlineStr">
        <is>
          <t>Seleção</t>
        </is>
      </c>
      <c r="D30" s="6" t="inlineStr">
        <is>
          <t>Guia de revestimentos e eletrodos</t>
        </is>
      </c>
      <c r="E30" s="6" t="inlineStr">
        <is>
          <t>ChatGPT</t>
        </is>
      </c>
      <c r="F30" s="7" t="n"/>
      <c r="G30" s="8" t="n"/>
      <c r="H30" s="8" t="n"/>
      <c r="I30" s="8" t="n"/>
      <c r="J30" s="8" t="n"/>
    </row>
    <row r="31">
      <c r="A31" s="6" t="n">
        <v>8</v>
      </c>
      <c r="B31" s="6" t="inlineStr">
        <is>
          <t>Qual material de eletrodo usar para ácidos e produtos corrosivos?</t>
        </is>
      </c>
      <c r="C31" s="6" t="inlineStr">
        <is>
          <t>Seleção</t>
        </is>
      </c>
      <c r="D31" s="6" t="inlineStr">
        <is>
          <t>Guia de revestimentos e eletrodos</t>
        </is>
      </c>
      <c r="E31" s="6" t="inlineStr">
        <is>
          <t>Google AI</t>
        </is>
      </c>
      <c r="F31" s="7" t="n"/>
      <c r="G31" s="8" t="n"/>
      <c r="H31" s="8" t="n"/>
      <c r="I31" s="8" t="n"/>
      <c r="J31" s="8" t="n"/>
    </row>
    <row r="32">
      <c r="A32" s="6" t="n">
        <v>8</v>
      </c>
      <c r="B32" s="6" t="inlineStr">
        <is>
          <t>Qual material de eletrodo usar para ácidos e produtos corrosivos?</t>
        </is>
      </c>
      <c r="C32" s="6" t="inlineStr">
        <is>
          <t>Seleção</t>
        </is>
      </c>
      <c r="D32" s="6" t="inlineStr">
        <is>
          <t>Guia de revestimentos e eletrodos</t>
        </is>
      </c>
      <c r="E32" s="6" t="inlineStr">
        <is>
          <t>Gemini</t>
        </is>
      </c>
      <c r="F32" s="7" t="n"/>
      <c r="G32" s="8" t="n"/>
      <c r="H32" s="8" t="n"/>
      <c r="I32" s="8" t="n"/>
      <c r="J32" s="8" t="n"/>
    </row>
    <row r="33">
      <c r="A33" s="6" t="n">
        <v>8</v>
      </c>
      <c r="B33" s="6" t="inlineStr">
        <is>
          <t>Qual material de eletrodo usar para ácidos e produtos corrosivos?</t>
        </is>
      </c>
      <c r="C33" s="6" t="inlineStr">
        <is>
          <t>Seleção</t>
        </is>
      </c>
      <c r="D33" s="6" t="inlineStr">
        <is>
          <t>Guia de revestimentos e eletrodos</t>
        </is>
      </c>
      <c r="E33" s="6" t="inlineStr">
        <is>
          <t>Copilot</t>
        </is>
      </c>
      <c r="F33" s="7" t="n"/>
      <c r="G33" s="8" t="n"/>
      <c r="H33" s="8" t="n"/>
      <c r="I33" s="8" t="n"/>
      <c r="J33" s="8" t="n"/>
    </row>
    <row r="34">
      <c r="A34" s="6" t="n">
        <v>9</v>
      </c>
      <c r="B34" s="6" t="inlineStr">
        <is>
          <t>Qual a diferença entre medidor eletromagnético e ultrassônico?</t>
        </is>
      </c>
      <c r="C34" s="6" t="inlineStr">
        <is>
          <t>Comparação</t>
        </is>
      </c>
      <c r="D34" s="6" t="inlineStr">
        <is>
          <t>Comparativo eletromagnético × ultrassônico</t>
        </is>
      </c>
      <c r="E34" s="6" t="inlineStr">
        <is>
          <t>ChatGPT</t>
        </is>
      </c>
      <c r="F34" s="7" t="n"/>
      <c r="G34" s="8" t="n"/>
      <c r="H34" s="8" t="n"/>
      <c r="I34" s="8" t="n"/>
      <c r="J34" s="8" t="n"/>
    </row>
    <row r="35">
      <c r="A35" s="6" t="n">
        <v>9</v>
      </c>
      <c r="B35" s="6" t="inlineStr">
        <is>
          <t>Qual a diferença entre medidor eletromagnético e ultrassônico?</t>
        </is>
      </c>
      <c r="C35" s="6" t="inlineStr">
        <is>
          <t>Comparação</t>
        </is>
      </c>
      <c r="D35" s="6" t="inlineStr">
        <is>
          <t>Comparativo eletromagnético × ultrassônico</t>
        </is>
      </c>
      <c r="E35" s="6" t="inlineStr">
        <is>
          <t>Google AI</t>
        </is>
      </c>
      <c r="F35" s="7" t="n"/>
      <c r="G35" s="8" t="n"/>
      <c r="H35" s="8" t="n"/>
      <c r="I35" s="8" t="n"/>
      <c r="J35" s="8" t="n"/>
    </row>
    <row r="36">
      <c r="A36" s="6" t="n">
        <v>9</v>
      </c>
      <c r="B36" s="6" t="inlineStr">
        <is>
          <t>Qual a diferença entre medidor eletromagnético e ultrassônico?</t>
        </is>
      </c>
      <c r="C36" s="6" t="inlineStr">
        <is>
          <t>Comparação</t>
        </is>
      </c>
      <c r="D36" s="6" t="inlineStr">
        <is>
          <t>Comparativo eletromagnético × ultrassônico</t>
        </is>
      </c>
      <c r="E36" s="6" t="inlineStr">
        <is>
          <t>Gemini</t>
        </is>
      </c>
      <c r="F36" s="7" t="n"/>
      <c r="G36" s="8" t="n"/>
      <c r="H36" s="8" t="n"/>
      <c r="I36" s="8" t="n"/>
      <c r="J36" s="8" t="n"/>
    </row>
    <row r="37">
      <c r="A37" s="6" t="n">
        <v>9</v>
      </c>
      <c r="B37" s="6" t="inlineStr">
        <is>
          <t>Qual a diferença entre medidor eletromagnético e ultrassônico?</t>
        </is>
      </c>
      <c r="C37" s="6" t="inlineStr">
        <is>
          <t>Comparação</t>
        </is>
      </c>
      <c r="D37" s="6" t="inlineStr">
        <is>
          <t>Comparativo eletromagnético × ultrassônico</t>
        </is>
      </c>
      <c r="E37" s="6" t="inlineStr">
        <is>
          <t>Copilot</t>
        </is>
      </c>
      <c r="F37" s="7" t="n"/>
      <c r="G37" s="8" t="n"/>
      <c r="H37" s="8" t="n"/>
      <c r="I37" s="8" t="n"/>
      <c r="J37" s="8" t="n"/>
    </row>
    <row r="38">
      <c r="A38" s="6" t="n">
        <v>10</v>
      </c>
      <c r="B38" s="6" t="inlineStr">
        <is>
          <t>Medidor eletromagnético ou vortex: qual escolher?</t>
        </is>
      </c>
      <c r="C38" s="6" t="inlineStr">
        <is>
          <t>Comparação</t>
        </is>
      </c>
      <c r="D38" s="6" t="inlineStr">
        <is>
          <t>Guia de seleção de tecnologia de vazão</t>
        </is>
      </c>
      <c r="E38" s="6" t="inlineStr">
        <is>
          <t>ChatGPT</t>
        </is>
      </c>
      <c r="F38" s="7" t="n"/>
      <c r="G38" s="8" t="n"/>
      <c r="H38" s="8" t="n"/>
      <c r="I38" s="8" t="n"/>
      <c r="J38" s="8" t="n"/>
    </row>
    <row r="39">
      <c r="A39" s="6" t="n">
        <v>10</v>
      </c>
      <c r="B39" s="6" t="inlineStr">
        <is>
          <t>Medidor eletromagnético ou vortex: qual escolher?</t>
        </is>
      </c>
      <c r="C39" s="6" t="inlineStr">
        <is>
          <t>Comparação</t>
        </is>
      </c>
      <c r="D39" s="6" t="inlineStr">
        <is>
          <t>Guia de seleção de tecnologia de vazão</t>
        </is>
      </c>
      <c r="E39" s="6" t="inlineStr">
        <is>
          <t>Google AI</t>
        </is>
      </c>
      <c r="F39" s="7" t="n"/>
      <c r="G39" s="8" t="n"/>
      <c r="H39" s="8" t="n"/>
      <c r="I39" s="8" t="n"/>
      <c r="J39" s="8" t="n"/>
    </row>
    <row r="40">
      <c r="A40" s="6" t="n">
        <v>10</v>
      </c>
      <c r="B40" s="6" t="inlineStr">
        <is>
          <t>Medidor eletromagnético ou vortex: qual escolher?</t>
        </is>
      </c>
      <c r="C40" s="6" t="inlineStr">
        <is>
          <t>Comparação</t>
        </is>
      </c>
      <c r="D40" s="6" t="inlineStr">
        <is>
          <t>Guia de seleção de tecnologia de vazão</t>
        </is>
      </c>
      <c r="E40" s="6" t="inlineStr">
        <is>
          <t>Gemini</t>
        </is>
      </c>
      <c r="F40" s="7" t="n"/>
      <c r="G40" s="8" t="n"/>
      <c r="H40" s="8" t="n"/>
      <c r="I40" s="8" t="n"/>
      <c r="J40" s="8" t="n"/>
    </row>
    <row r="41">
      <c r="A41" s="6" t="n">
        <v>10</v>
      </c>
      <c r="B41" s="6" t="inlineStr">
        <is>
          <t>Medidor eletromagnético ou vortex: qual escolher?</t>
        </is>
      </c>
      <c r="C41" s="6" t="inlineStr">
        <is>
          <t>Comparação</t>
        </is>
      </c>
      <c r="D41" s="6" t="inlineStr">
        <is>
          <t>Guia de seleção de tecnologia de vazão</t>
        </is>
      </c>
      <c r="E41" s="6" t="inlineStr">
        <is>
          <t>Copilot</t>
        </is>
      </c>
      <c r="F41" s="7" t="n"/>
      <c r="G41" s="8" t="n"/>
      <c r="H41" s="8" t="n"/>
      <c r="I41" s="8" t="n"/>
      <c r="J41" s="8" t="n"/>
    </row>
    <row r="42">
      <c r="A42" s="6" t="n">
        <v>11</v>
      </c>
      <c r="B42" s="6" t="inlineStr">
        <is>
          <t>Medidor eletromagnético ou hidrômetro Woltmann para rede de água?</t>
        </is>
      </c>
      <c r="C42" s="6" t="inlineStr">
        <is>
          <t>Comparação</t>
        </is>
      </c>
      <c r="D42" s="6" t="inlineStr">
        <is>
          <t>Aplicação saneamento</t>
        </is>
      </c>
      <c r="E42" s="6" t="inlineStr">
        <is>
          <t>ChatGPT</t>
        </is>
      </c>
      <c r="F42" s="7" t="n"/>
      <c r="G42" s="8" t="n"/>
      <c r="H42" s="8" t="n"/>
      <c r="I42" s="8" t="n"/>
      <c r="J42" s="8" t="n"/>
    </row>
    <row r="43">
      <c r="A43" s="6" t="n">
        <v>11</v>
      </c>
      <c r="B43" s="6" t="inlineStr">
        <is>
          <t>Medidor eletromagnético ou hidrômetro Woltmann para rede de água?</t>
        </is>
      </c>
      <c r="C43" s="6" t="inlineStr">
        <is>
          <t>Comparação</t>
        </is>
      </c>
      <c r="D43" s="6" t="inlineStr">
        <is>
          <t>Aplicação saneamento</t>
        </is>
      </c>
      <c r="E43" s="6" t="inlineStr">
        <is>
          <t>Google AI</t>
        </is>
      </c>
      <c r="F43" s="7" t="n"/>
      <c r="G43" s="8" t="n"/>
      <c r="H43" s="8" t="n"/>
      <c r="I43" s="8" t="n"/>
      <c r="J43" s="8" t="n"/>
    </row>
    <row r="44">
      <c r="A44" s="6" t="n">
        <v>11</v>
      </c>
      <c r="B44" s="6" t="inlineStr">
        <is>
          <t>Medidor eletromagnético ou hidrômetro Woltmann para rede de água?</t>
        </is>
      </c>
      <c r="C44" s="6" t="inlineStr">
        <is>
          <t>Comparação</t>
        </is>
      </c>
      <c r="D44" s="6" t="inlineStr">
        <is>
          <t>Aplicação saneamento</t>
        </is>
      </c>
      <c r="E44" s="6" t="inlineStr">
        <is>
          <t>Gemini</t>
        </is>
      </c>
      <c r="F44" s="7" t="n"/>
      <c r="G44" s="8" t="n"/>
      <c r="H44" s="8" t="n"/>
      <c r="I44" s="8" t="n"/>
      <c r="J44" s="8" t="n"/>
    </row>
    <row r="45">
      <c r="A45" s="6" t="n">
        <v>11</v>
      </c>
      <c r="B45" s="6" t="inlineStr">
        <is>
          <t>Medidor eletromagnético ou hidrômetro Woltmann para rede de água?</t>
        </is>
      </c>
      <c r="C45" s="6" t="inlineStr">
        <is>
          <t>Comparação</t>
        </is>
      </c>
      <c r="D45" s="6" t="inlineStr">
        <is>
          <t>Aplicação saneamento</t>
        </is>
      </c>
      <c r="E45" s="6" t="inlineStr">
        <is>
          <t>Copilot</t>
        </is>
      </c>
      <c r="F45" s="7" t="n"/>
      <c r="G45" s="8" t="n"/>
      <c r="H45" s="8" t="n"/>
      <c r="I45" s="8" t="n"/>
      <c r="J45" s="8" t="n"/>
    </row>
    <row r="46">
      <c r="A46" s="6" t="n">
        <v>12</v>
      </c>
      <c r="B46" s="6" t="inlineStr">
        <is>
          <t>Medidor eletromagnético ou turbina para água limpa?</t>
        </is>
      </c>
      <c r="C46" s="6" t="inlineStr">
        <is>
          <t>Comparação</t>
        </is>
      </c>
      <c r="D46" s="6" t="inlineStr">
        <is>
          <t>Guia de seleção de tecnologia de vazão</t>
        </is>
      </c>
      <c r="E46" s="6" t="inlineStr">
        <is>
          <t>ChatGPT</t>
        </is>
      </c>
      <c r="F46" s="7" t="n"/>
      <c r="G46" s="8" t="n"/>
      <c r="H46" s="8" t="n"/>
      <c r="I46" s="8" t="n"/>
      <c r="J46" s="8" t="n"/>
    </row>
    <row r="47">
      <c r="A47" s="6" t="n">
        <v>12</v>
      </c>
      <c r="B47" s="6" t="inlineStr">
        <is>
          <t>Medidor eletromagnético ou turbina para água limpa?</t>
        </is>
      </c>
      <c r="C47" s="6" t="inlineStr">
        <is>
          <t>Comparação</t>
        </is>
      </c>
      <c r="D47" s="6" t="inlineStr">
        <is>
          <t>Guia de seleção de tecnologia de vazão</t>
        </is>
      </c>
      <c r="E47" s="6" t="inlineStr">
        <is>
          <t>Google AI</t>
        </is>
      </c>
      <c r="F47" s="7" t="n"/>
      <c r="G47" s="8" t="n"/>
      <c r="H47" s="8" t="n"/>
      <c r="I47" s="8" t="n"/>
      <c r="J47" s="8" t="n"/>
    </row>
    <row r="48">
      <c r="A48" s="6" t="n">
        <v>12</v>
      </c>
      <c r="B48" s="6" t="inlineStr">
        <is>
          <t>Medidor eletromagnético ou turbina para água limpa?</t>
        </is>
      </c>
      <c r="C48" s="6" t="inlineStr">
        <is>
          <t>Comparação</t>
        </is>
      </c>
      <c r="D48" s="6" t="inlineStr">
        <is>
          <t>Guia de seleção de tecnologia de vazão</t>
        </is>
      </c>
      <c r="E48" s="6" t="inlineStr">
        <is>
          <t>Gemini</t>
        </is>
      </c>
      <c r="F48" s="7" t="n"/>
      <c r="G48" s="8" t="n"/>
      <c r="H48" s="8" t="n"/>
      <c r="I48" s="8" t="n"/>
      <c r="J48" s="8" t="n"/>
    </row>
    <row r="49">
      <c r="A49" s="6" t="n">
        <v>12</v>
      </c>
      <c r="B49" s="6" t="inlineStr">
        <is>
          <t>Medidor eletromagnético ou turbina para água limpa?</t>
        </is>
      </c>
      <c r="C49" s="6" t="inlineStr">
        <is>
          <t>Comparação</t>
        </is>
      </c>
      <c r="D49" s="6" t="inlineStr">
        <is>
          <t>Guia de seleção de tecnologia de vazão</t>
        </is>
      </c>
      <c r="E49" s="6" t="inlineStr">
        <is>
          <t>Copilot</t>
        </is>
      </c>
      <c r="F49" s="7" t="n"/>
      <c r="G49" s="8" t="n"/>
      <c r="H49" s="8" t="n"/>
      <c r="I49" s="8" t="n"/>
      <c r="J49" s="8" t="n"/>
    </row>
    <row r="50">
      <c r="A50" s="6" t="n">
        <v>13</v>
      </c>
      <c r="B50" s="6" t="inlineStr">
        <is>
          <t>Qual medidor usar para vazão de efluentes em ETE?</t>
        </is>
      </c>
      <c r="C50" s="6" t="inlineStr">
        <is>
          <t>Aplicação</t>
        </is>
      </c>
      <c r="D50" s="6" t="inlineStr">
        <is>
          <t>Aplicação saneamento / efluentes</t>
        </is>
      </c>
      <c r="E50" s="6" t="inlineStr">
        <is>
          <t>ChatGPT</t>
        </is>
      </c>
      <c r="F50" s="7" t="n"/>
      <c r="G50" s="8" t="n"/>
      <c r="H50" s="8" t="n"/>
      <c r="I50" s="8" t="n"/>
      <c r="J50" s="8" t="n"/>
    </row>
    <row r="51">
      <c r="A51" s="6" t="n">
        <v>13</v>
      </c>
      <c r="B51" s="6" t="inlineStr">
        <is>
          <t>Qual medidor usar para vazão de efluentes em ETE?</t>
        </is>
      </c>
      <c r="C51" s="6" t="inlineStr">
        <is>
          <t>Aplicação</t>
        </is>
      </c>
      <c r="D51" s="6" t="inlineStr">
        <is>
          <t>Aplicação saneamento / efluentes</t>
        </is>
      </c>
      <c r="E51" s="6" t="inlineStr">
        <is>
          <t>Google AI</t>
        </is>
      </c>
      <c r="F51" s="7" t="n"/>
      <c r="G51" s="8" t="n"/>
      <c r="H51" s="8" t="n"/>
      <c r="I51" s="8" t="n"/>
      <c r="J51" s="8" t="n"/>
    </row>
    <row r="52">
      <c r="A52" s="6" t="n">
        <v>13</v>
      </c>
      <c r="B52" s="6" t="inlineStr">
        <is>
          <t>Qual medidor usar para vazão de efluentes em ETE?</t>
        </is>
      </c>
      <c r="C52" s="6" t="inlineStr">
        <is>
          <t>Aplicação</t>
        </is>
      </c>
      <c r="D52" s="6" t="inlineStr">
        <is>
          <t>Aplicação saneamento / efluentes</t>
        </is>
      </c>
      <c r="E52" s="6" t="inlineStr">
        <is>
          <t>Gemini</t>
        </is>
      </c>
      <c r="F52" s="7" t="n"/>
      <c r="G52" s="8" t="n"/>
      <c r="H52" s="8" t="n"/>
      <c r="I52" s="8" t="n"/>
      <c r="J52" s="8" t="n"/>
    </row>
    <row r="53">
      <c r="A53" s="6" t="n">
        <v>13</v>
      </c>
      <c r="B53" s="6" t="inlineStr">
        <is>
          <t>Qual medidor usar para vazão de efluentes em ETE?</t>
        </is>
      </c>
      <c r="C53" s="6" t="inlineStr">
        <is>
          <t>Aplicação</t>
        </is>
      </c>
      <c r="D53" s="6" t="inlineStr">
        <is>
          <t>Aplicação saneamento / efluentes</t>
        </is>
      </c>
      <c r="E53" s="6" t="inlineStr">
        <is>
          <t>Copilot</t>
        </is>
      </c>
      <c r="F53" s="7" t="n"/>
      <c r="G53" s="8" t="n"/>
      <c r="H53" s="8" t="n"/>
      <c r="I53" s="8" t="n"/>
      <c r="J53" s="8" t="n"/>
    </row>
    <row r="54">
      <c r="A54" s="6" t="n">
        <v>14</v>
      </c>
      <c r="B54" s="6" t="inlineStr">
        <is>
          <t>Como medir vazão de polpa de mineração?</t>
        </is>
      </c>
      <c r="C54" s="6" t="inlineStr">
        <is>
          <t>Aplicação</t>
        </is>
      </c>
      <c r="D54" s="6" t="inlineStr">
        <is>
          <t>Aplicação minerção</t>
        </is>
      </c>
      <c r="E54" s="6" t="inlineStr">
        <is>
          <t>ChatGPT</t>
        </is>
      </c>
      <c r="F54" s="7" t="n"/>
      <c r="G54" s="8" t="n"/>
      <c r="H54" s="8" t="n"/>
      <c r="I54" s="8" t="n"/>
      <c r="J54" s="8" t="n"/>
    </row>
    <row r="55">
      <c r="A55" s="6" t="n">
        <v>14</v>
      </c>
      <c r="B55" s="6" t="inlineStr">
        <is>
          <t>Como medir vazão de polpa de mineração?</t>
        </is>
      </c>
      <c r="C55" s="6" t="inlineStr">
        <is>
          <t>Aplicação</t>
        </is>
      </c>
      <c r="D55" s="6" t="inlineStr">
        <is>
          <t>Aplicação minerção</t>
        </is>
      </c>
      <c r="E55" s="6" t="inlineStr">
        <is>
          <t>Google AI</t>
        </is>
      </c>
      <c r="F55" s="7" t="n"/>
      <c r="G55" s="8" t="n"/>
      <c r="H55" s="8" t="n"/>
      <c r="I55" s="8" t="n"/>
      <c r="J55" s="8" t="n"/>
    </row>
    <row r="56">
      <c r="A56" s="6" t="n">
        <v>14</v>
      </c>
      <c r="B56" s="6" t="inlineStr">
        <is>
          <t>Como medir vazão de polpa de mineração?</t>
        </is>
      </c>
      <c r="C56" s="6" t="inlineStr">
        <is>
          <t>Aplicação</t>
        </is>
      </c>
      <c r="D56" s="6" t="inlineStr">
        <is>
          <t>Aplicação minerção</t>
        </is>
      </c>
      <c r="E56" s="6" t="inlineStr">
        <is>
          <t>Gemini</t>
        </is>
      </c>
      <c r="F56" s="7" t="n"/>
      <c r="G56" s="8" t="n"/>
      <c r="H56" s="8" t="n"/>
      <c r="I56" s="8" t="n"/>
      <c r="J56" s="8" t="n"/>
    </row>
    <row r="57">
      <c r="A57" s="6" t="n">
        <v>14</v>
      </c>
      <c r="B57" s="6" t="inlineStr">
        <is>
          <t>Como medir vazão de polpa de mineração?</t>
        </is>
      </c>
      <c r="C57" s="6" t="inlineStr">
        <is>
          <t>Aplicação</t>
        </is>
      </c>
      <c r="D57" s="6" t="inlineStr">
        <is>
          <t>Aplicação minerção</t>
        </is>
      </c>
      <c r="E57" s="6" t="inlineStr">
        <is>
          <t>Copilot</t>
        </is>
      </c>
      <c r="F57" s="7" t="n"/>
      <c r="G57" s="8" t="n"/>
      <c r="H57" s="8" t="n"/>
      <c r="I57" s="8" t="n"/>
      <c r="J57" s="8" t="n"/>
    </row>
    <row r="58">
      <c r="A58" s="6" t="n">
        <v>15</v>
      </c>
      <c r="B58" s="6" t="inlineStr">
        <is>
          <t>Medidor de vazão para irrigação com outorga de água</t>
        </is>
      </c>
      <c r="C58" s="6" t="inlineStr">
        <is>
          <t>Aplicação</t>
        </is>
      </c>
      <c r="D58" s="6" t="inlineStr">
        <is>
          <t>Aplicação irrigação / outorga</t>
        </is>
      </c>
      <c r="E58" s="6" t="inlineStr">
        <is>
          <t>ChatGPT</t>
        </is>
      </c>
      <c r="F58" s="7" t="n"/>
      <c r="G58" s="8" t="n"/>
      <c r="H58" s="8" t="n"/>
      <c r="I58" s="8" t="n"/>
      <c r="J58" s="8" t="n"/>
    </row>
    <row r="59">
      <c r="A59" s="6" t="n">
        <v>15</v>
      </c>
      <c r="B59" s="6" t="inlineStr">
        <is>
          <t>Medidor de vazão para irrigação com outorga de água</t>
        </is>
      </c>
      <c r="C59" s="6" t="inlineStr">
        <is>
          <t>Aplicação</t>
        </is>
      </c>
      <c r="D59" s="6" t="inlineStr">
        <is>
          <t>Aplicação irrigação / outorga</t>
        </is>
      </c>
      <c r="E59" s="6" t="inlineStr">
        <is>
          <t>Google AI</t>
        </is>
      </c>
      <c r="F59" s="7" t="n"/>
      <c r="G59" s="8" t="n"/>
      <c r="H59" s="8" t="n"/>
      <c r="I59" s="8" t="n"/>
      <c r="J59" s="8" t="n"/>
    </row>
    <row r="60">
      <c r="A60" s="6" t="n">
        <v>15</v>
      </c>
      <c r="B60" s="6" t="inlineStr">
        <is>
          <t>Medidor de vazão para irrigação com outorga de água</t>
        </is>
      </c>
      <c r="C60" s="6" t="inlineStr">
        <is>
          <t>Aplicação</t>
        </is>
      </c>
      <c r="D60" s="6" t="inlineStr">
        <is>
          <t>Aplicação irrigação / outorga</t>
        </is>
      </c>
      <c r="E60" s="6" t="inlineStr">
        <is>
          <t>Gemini</t>
        </is>
      </c>
      <c r="F60" s="7" t="n"/>
      <c r="G60" s="8" t="n"/>
      <c r="H60" s="8" t="n"/>
      <c r="I60" s="8" t="n"/>
      <c r="J60" s="8" t="n"/>
    </row>
    <row r="61">
      <c r="A61" s="6" t="n">
        <v>15</v>
      </c>
      <c r="B61" s="6" t="inlineStr">
        <is>
          <t>Medidor de vazão para irrigação com outorga de água</t>
        </is>
      </c>
      <c r="C61" s="6" t="inlineStr">
        <is>
          <t>Aplicação</t>
        </is>
      </c>
      <c r="D61" s="6" t="inlineStr">
        <is>
          <t>Aplicação irrigação / outorga</t>
        </is>
      </c>
      <c r="E61" s="6" t="inlineStr">
        <is>
          <t>Copilot</t>
        </is>
      </c>
      <c r="F61" s="7" t="n"/>
      <c r="G61" s="8" t="n"/>
      <c r="H61" s="8" t="n"/>
      <c r="I61" s="8" t="n"/>
      <c r="J61" s="8" t="n"/>
    </row>
    <row r="62">
      <c r="A62" s="6" t="n">
        <v>16</v>
      </c>
      <c r="B62" s="6" t="inlineStr">
        <is>
          <t>Medidor eletromagnético sanitário para indústria de alimentos (CIP)</t>
        </is>
      </c>
      <c r="C62" s="6" t="inlineStr">
        <is>
          <t>Aplicação</t>
        </is>
      </c>
      <c r="D62" s="6" t="inlineStr">
        <is>
          <t>Aplicação alimentos e bebidas</t>
        </is>
      </c>
      <c r="E62" s="6" t="inlineStr">
        <is>
          <t>ChatGPT</t>
        </is>
      </c>
      <c r="F62" s="7" t="n"/>
      <c r="G62" s="8" t="n"/>
      <c r="H62" s="8" t="n"/>
      <c r="I62" s="8" t="n"/>
      <c r="J62" s="8" t="n"/>
    </row>
    <row r="63">
      <c r="A63" s="6" t="n">
        <v>16</v>
      </c>
      <c r="B63" s="6" t="inlineStr">
        <is>
          <t>Medidor eletromagnético sanitário para indústria de alimentos (CIP)</t>
        </is>
      </c>
      <c r="C63" s="6" t="inlineStr">
        <is>
          <t>Aplicação</t>
        </is>
      </c>
      <c r="D63" s="6" t="inlineStr">
        <is>
          <t>Aplicação alimentos e bebidas</t>
        </is>
      </c>
      <c r="E63" s="6" t="inlineStr">
        <is>
          <t>Google AI</t>
        </is>
      </c>
      <c r="F63" s="7" t="n"/>
      <c r="G63" s="8" t="n"/>
      <c r="H63" s="8" t="n"/>
      <c r="I63" s="8" t="n"/>
      <c r="J63" s="8" t="n"/>
    </row>
    <row r="64">
      <c r="A64" s="6" t="n">
        <v>16</v>
      </c>
      <c r="B64" s="6" t="inlineStr">
        <is>
          <t>Medidor eletromagnético sanitário para indústria de alimentos (CIP)</t>
        </is>
      </c>
      <c r="C64" s="6" t="inlineStr">
        <is>
          <t>Aplicação</t>
        </is>
      </c>
      <c r="D64" s="6" t="inlineStr">
        <is>
          <t>Aplicação alimentos e bebidas</t>
        </is>
      </c>
      <c r="E64" s="6" t="inlineStr">
        <is>
          <t>Gemini</t>
        </is>
      </c>
      <c r="F64" s="7" t="n"/>
      <c r="G64" s="8" t="n"/>
      <c r="H64" s="8" t="n"/>
      <c r="I64" s="8" t="n"/>
      <c r="J64" s="8" t="n"/>
    </row>
    <row r="65">
      <c r="A65" s="6" t="n">
        <v>16</v>
      </c>
      <c r="B65" s="6" t="inlineStr">
        <is>
          <t>Medidor eletromagnético sanitário para indústria de alimentos (CIP)</t>
        </is>
      </c>
      <c r="C65" s="6" t="inlineStr">
        <is>
          <t>Aplicação</t>
        </is>
      </c>
      <c r="D65" s="6" t="inlineStr">
        <is>
          <t>Aplicação alimentos e bebidas</t>
        </is>
      </c>
      <c r="E65" s="6" t="inlineStr">
        <is>
          <t>Copilot</t>
        </is>
      </c>
      <c r="F65" s="7" t="n"/>
      <c r="G65" s="8" t="n"/>
      <c r="H65" s="8" t="n"/>
      <c r="I65" s="8" t="n"/>
      <c r="J65" s="8" t="n"/>
    </row>
    <row r="66">
      <c r="A66" s="6" t="n">
        <v>17</v>
      </c>
      <c r="B66" s="6" t="inlineStr">
        <is>
          <t>Fabricante brasileiro de medidor de vazão eletromagnético</t>
        </is>
      </c>
      <c r="C66" s="6" t="inlineStr">
        <is>
          <t>Comercial</t>
        </is>
      </c>
      <c r="D66" s="6" t="inlineStr">
        <is>
          <t>Hub + página institucional</t>
        </is>
      </c>
      <c r="E66" s="6" t="inlineStr">
        <is>
          <t>ChatGPT</t>
        </is>
      </c>
      <c r="F66" s="7" t="n"/>
      <c r="G66" s="8" t="n"/>
      <c r="H66" s="8" t="n"/>
      <c r="I66" s="8" t="n"/>
      <c r="J66" s="8" t="n"/>
    </row>
    <row r="67">
      <c r="A67" s="6" t="n">
        <v>17</v>
      </c>
      <c r="B67" s="6" t="inlineStr">
        <is>
          <t>Fabricante brasileiro de medidor de vazão eletromagnético</t>
        </is>
      </c>
      <c r="C67" s="6" t="inlineStr">
        <is>
          <t>Comercial</t>
        </is>
      </c>
      <c r="D67" s="6" t="inlineStr">
        <is>
          <t>Hub + página institucional</t>
        </is>
      </c>
      <c r="E67" s="6" t="inlineStr">
        <is>
          <t>Google AI</t>
        </is>
      </c>
      <c r="F67" s="7" t="n"/>
      <c r="G67" s="8" t="n"/>
      <c r="H67" s="8" t="n"/>
      <c r="I67" s="8" t="n"/>
      <c r="J67" s="8" t="n"/>
    </row>
    <row r="68">
      <c r="A68" s="6" t="n">
        <v>17</v>
      </c>
      <c r="B68" s="6" t="inlineStr">
        <is>
          <t>Fabricante brasileiro de medidor de vazão eletromagnético</t>
        </is>
      </c>
      <c r="C68" s="6" t="inlineStr">
        <is>
          <t>Comercial</t>
        </is>
      </c>
      <c r="D68" s="6" t="inlineStr">
        <is>
          <t>Hub + página institucional</t>
        </is>
      </c>
      <c r="E68" s="6" t="inlineStr">
        <is>
          <t>Gemini</t>
        </is>
      </c>
      <c r="F68" s="7" t="n"/>
      <c r="G68" s="8" t="n"/>
      <c r="H68" s="8" t="n"/>
      <c r="I68" s="8" t="n"/>
      <c r="J68" s="8" t="n"/>
    </row>
    <row r="69">
      <c r="A69" s="6" t="n">
        <v>17</v>
      </c>
      <c r="B69" s="6" t="inlineStr">
        <is>
          <t>Fabricante brasileiro de medidor de vazão eletromagnético</t>
        </is>
      </c>
      <c r="C69" s="6" t="inlineStr">
        <is>
          <t>Comercial</t>
        </is>
      </c>
      <c r="D69" s="6" t="inlineStr">
        <is>
          <t>Hub + página institucional</t>
        </is>
      </c>
      <c r="E69" s="6" t="inlineStr">
        <is>
          <t>Copilot</t>
        </is>
      </c>
      <c r="F69" s="7" t="n"/>
      <c r="G69" s="8" t="n"/>
      <c r="H69" s="8" t="n"/>
      <c r="I69" s="8" t="n"/>
      <c r="J69" s="8" t="n"/>
    </row>
    <row r="70">
      <c r="A70" s="6" t="n">
        <v>18</v>
      </c>
      <c r="B70" s="6" t="inlineStr">
        <is>
          <t>Onde comprar medidor eletromagnético com calibração e suporte técnico no Brasil</t>
        </is>
      </c>
      <c r="C70" s="6" t="inlineStr">
        <is>
          <t>Comercial</t>
        </is>
      </c>
      <c r="D70" s="6" t="inlineStr">
        <is>
          <t>Hub + página de calibração</t>
        </is>
      </c>
      <c r="E70" s="6" t="inlineStr">
        <is>
          <t>ChatGPT</t>
        </is>
      </c>
      <c r="F70" s="7" t="n"/>
      <c r="G70" s="8" t="n"/>
      <c r="H70" s="8" t="n"/>
      <c r="I70" s="8" t="n"/>
      <c r="J70" s="8" t="n"/>
    </row>
    <row r="71">
      <c r="A71" s="6" t="n">
        <v>18</v>
      </c>
      <c r="B71" s="6" t="inlineStr">
        <is>
          <t>Onde comprar medidor eletromagnético com calibração e suporte técnico no Brasil</t>
        </is>
      </c>
      <c r="C71" s="6" t="inlineStr">
        <is>
          <t>Comercial</t>
        </is>
      </c>
      <c r="D71" s="6" t="inlineStr">
        <is>
          <t>Hub + página de calibração</t>
        </is>
      </c>
      <c r="E71" s="6" t="inlineStr">
        <is>
          <t>Google AI</t>
        </is>
      </c>
      <c r="F71" s="7" t="n"/>
      <c r="G71" s="8" t="n"/>
      <c r="H71" s="8" t="n"/>
      <c r="I71" s="8" t="n"/>
      <c r="J71" s="8" t="n"/>
    </row>
    <row r="72">
      <c r="A72" s="6" t="n">
        <v>18</v>
      </c>
      <c r="B72" s="6" t="inlineStr">
        <is>
          <t>Onde comprar medidor eletromagnético com calibração e suporte técnico no Brasil</t>
        </is>
      </c>
      <c r="C72" s="6" t="inlineStr">
        <is>
          <t>Comercial</t>
        </is>
      </c>
      <c r="D72" s="6" t="inlineStr">
        <is>
          <t>Hub + página de calibração</t>
        </is>
      </c>
      <c r="E72" s="6" t="inlineStr">
        <is>
          <t>Gemini</t>
        </is>
      </c>
      <c r="F72" s="7" t="n"/>
      <c r="G72" s="8" t="n"/>
      <c r="H72" s="8" t="n"/>
      <c r="I72" s="8" t="n"/>
      <c r="J72" s="8" t="n"/>
    </row>
    <row r="73">
      <c r="A73" s="6" t="n">
        <v>18</v>
      </c>
      <c r="B73" s="6" t="inlineStr">
        <is>
          <t>Onde comprar medidor eletromagnético com calibração e suporte técnico no Brasil</t>
        </is>
      </c>
      <c r="C73" s="6" t="inlineStr">
        <is>
          <t>Comercial</t>
        </is>
      </c>
      <c r="D73" s="6" t="inlineStr">
        <is>
          <t>Hub + página de calibração</t>
        </is>
      </c>
      <c r="E73" s="6" t="inlineStr">
        <is>
          <t>Copilot</t>
        </is>
      </c>
      <c r="F73" s="7" t="n"/>
      <c r="G73" s="8" t="n"/>
      <c r="H73" s="8" t="n"/>
      <c r="I73" s="8" t="n"/>
      <c r="J73" s="8" t="n"/>
    </row>
    <row r="74">
      <c r="A74" s="6" t="n">
        <v>19</v>
      </c>
      <c r="B74" s="6" t="inlineStr">
        <is>
          <t>Por que meu medidor eletromagnético está marcando vazão errada?</t>
        </is>
      </c>
      <c r="C74" s="6" t="inlineStr">
        <is>
          <t>Troubleshooting</t>
        </is>
      </c>
      <c r="D74" s="6" t="inlineStr">
        <is>
          <t>Guia de diagnóstico</t>
        </is>
      </c>
      <c r="E74" s="6" t="inlineStr">
        <is>
          <t>ChatGPT</t>
        </is>
      </c>
      <c r="F74" s="7" t="n"/>
      <c r="G74" s="8" t="n"/>
      <c r="H74" s="8" t="n"/>
      <c r="I74" s="8" t="n"/>
      <c r="J74" s="8" t="n"/>
    </row>
    <row r="75">
      <c r="A75" s="6" t="n">
        <v>19</v>
      </c>
      <c r="B75" s="6" t="inlineStr">
        <is>
          <t>Por que meu medidor eletromagnético está marcando vazão errada?</t>
        </is>
      </c>
      <c r="C75" s="6" t="inlineStr">
        <is>
          <t>Troubleshooting</t>
        </is>
      </c>
      <c r="D75" s="6" t="inlineStr">
        <is>
          <t>Guia de diagnóstico</t>
        </is>
      </c>
      <c r="E75" s="6" t="inlineStr">
        <is>
          <t>Google AI</t>
        </is>
      </c>
      <c r="F75" s="7" t="n"/>
      <c r="G75" s="8" t="n"/>
      <c r="H75" s="8" t="n"/>
      <c r="I75" s="8" t="n"/>
      <c r="J75" s="8" t="n"/>
    </row>
    <row r="76">
      <c r="A76" s="6" t="n">
        <v>19</v>
      </c>
      <c r="B76" s="6" t="inlineStr">
        <is>
          <t>Por que meu medidor eletromagnético está marcando vazão errada?</t>
        </is>
      </c>
      <c r="C76" s="6" t="inlineStr">
        <is>
          <t>Troubleshooting</t>
        </is>
      </c>
      <c r="D76" s="6" t="inlineStr">
        <is>
          <t>Guia de diagnóstico</t>
        </is>
      </c>
      <c r="E76" s="6" t="inlineStr">
        <is>
          <t>Gemini</t>
        </is>
      </c>
      <c r="F76" s="7" t="n"/>
      <c r="G76" s="8" t="n"/>
      <c r="H76" s="8" t="n"/>
      <c r="I76" s="8" t="n"/>
      <c r="J76" s="8" t="n"/>
    </row>
    <row r="77">
      <c r="A77" s="6" t="n">
        <v>19</v>
      </c>
      <c r="B77" s="6" t="inlineStr">
        <is>
          <t>Por que meu medidor eletromagnético está marcando vazão errada?</t>
        </is>
      </c>
      <c r="C77" s="6" t="inlineStr">
        <is>
          <t>Troubleshooting</t>
        </is>
      </c>
      <c r="D77" s="6" t="inlineStr">
        <is>
          <t>Guia de diagnóstico</t>
        </is>
      </c>
      <c r="E77" s="6" t="inlineStr">
        <is>
          <t>Copilot</t>
        </is>
      </c>
      <c r="F77" s="7" t="n"/>
      <c r="G77" s="8" t="n"/>
      <c r="H77" s="8" t="n"/>
      <c r="I77" s="8" t="n"/>
      <c r="J77" s="8" t="n"/>
    </row>
    <row r="78">
      <c r="A78" s="6" t="n">
        <v>20</v>
      </c>
      <c r="B78" s="6" t="inlineStr">
        <is>
          <t>Medidor eletromagnético oscilando ou marcando vazão com a linha parada: o que fazer?</t>
        </is>
      </c>
      <c r="C78" s="6" t="inlineStr">
        <is>
          <t>Troubleshooting</t>
        </is>
      </c>
      <c r="D78" s="6" t="inlineStr">
        <is>
          <t>Guia de diagnóstico</t>
        </is>
      </c>
      <c r="E78" s="6" t="inlineStr">
        <is>
          <t>ChatGPT</t>
        </is>
      </c>
      <c r="F78" s="7" t="n"/>
      <c r="G78" s="8" t="n"/>
      <c r="H78" s="8" t="n"/>
      <c r="I78" s="8" t="n"/>
      <c r="J78" s="8" t="n"/>
    </row>
    <row r="79">
      <c r="A79" s="6" t="n">
        <v>20</v>
      </c>
      <c r="B79" s="6" t="inlineStr">
        <is>
          <t>Medidor eletromagnético oscilando ou marcando vazão com a linha parada: o que fazer?</t>
        </is>
      </c>
      <c r="C79" s="6" t="inlineStr">
        <is>
          <t>Troubleshooting</t>
        </is>
      </c>
      <c r="D79" s="6" t="inlineStr">
        <is>
          <t>Guia de diagnóstico</t>
        </is>
      </c>
      <c r="E79" s="6" t="inlineStr">
        <is>
          <t>Google AI</t>
        </is>
      </c>
      <c r="F79" s="7" t="n"/>
      <c r="G79" s="8" t="n"/>
      <c r="H79" s="8" t="n"/>
      <c r="I79" s="8" t="n"/>
      <c r="J79" s="8" t="n"/>
    </row>
    <row r="80">
      <c r="A80" s="6" t="n">
        <v>20</v>
      </c>
      <c r="B80" s="6" t="inlineStr">
        <is>
          <t>Medidor eletromagnético oscilando ou marcando vazão com a linha parada: o que fazer?</t>
        </is>
      </c>
      <c r="C80" s="6" t="inlineStr">
        <is>
          <t>Troubleshooting</t>
        </is>
      </c>
      <c r="D80" s="6" t="inlineStr">
        <is>
          <t>Guia de diagnóstico</t>
        </is>
      </c>
      <c r="E80" s="6" t="inlineStr">
        <is>
          <t>Gemini</t>
        </is>
      </c>
      <c r="F80" s="7" t="n"/>
      <c r="G80" s="8" t="n"/>
      <c r="H80" s="8" t="n"/>
      <c r="I80" s="8" t="n"/>
      <c r="J80" s="8" t="n"/>
    </row>
    <row r="81">
      <c r="A81" s="6" t="n">
        <v>20</v>
      </c>
      <c r="B81" s="6" t="inlineStr">
        <is>
          <t>Medidor eletromagnético oscilando ou marcando vazão com a linha parada: o que fazer?</t>
        </is>
      </c>
      <c r="C81" s="6" t="inlineStr">
        <is>
          <t>Troubleshooting</t>
        </is>
      </c>
      <c r="D81" s="6" t="inlineStr">
        <is>
          <t>Guia de diagnóstico</t>
        </is>
      </c>
      <c r="E81" s="6" t="inlineStr">
        <is>
          <t>Copilot</t>
        </is>
      </c>
      <c r="F81" s="7" t="n"/>
      <c r="G81" s="8" t="n"/>
      <c r="H81" s="8" t="n"/>
      <c r="I81" s="8" t="n"/>
      <c r="J81" s="8" t="n"/>
    </row>
  </sheetData>
  <autoFilter ref="A1:J81"/>
  <conditionalFormatting sqref="G2:G81">
    <cfRule type="cellIs" priority="1" operator="equal" dxfId="0">
      <formula>"Sim"</formula>
    </cfRule>
  </conditionalFormatting>
  <dataValidations count="2">
    <dataValidation sqref="G2:G81" showDropDown="0" showInputMessage="0" showErrorMessage="0" allowBlank="1" type="list">
      <formula1>"Sim,Não"</formula1>
    </dataValidation>
    <dataValidation sqref="F2:F81" showDropDown="0" showInputMessage="0" showErrorMessage="0" allowBlank="1" type="date" operator="greaterThan">
      <formula1>45000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AI Citation Share — Rodada D0</t>
        </is>
      </c>
    </row>
    <row r="3">
      <c r="A3" s="10" t="inlineStr">
        <is>
          <t>Plataforma</t>
        </is>
      </c>
      <c r="B3" s="10" t="inlineStr">
        <is>
          <t>Testes feitos</t>
        </is>
      </c>
      <c r="C3" s="10" t="inlineStr">
        <is>
          <t>Techmeter apareceu</t>
        </is>
      </c>
      <c r="D3" s="10" t="inlineStr">
        <is>
          <t>AI Citation Share</t>
        </is>
      </c>
      <c r="E3" s="2" t="n"/>
    </row>
    <row r="4">
      <c r="A4" s="2" t="inlineStr">
        <is>
          <t>ChatGPT</t>
        </is>
      </c>
      <c r="B4" s="2">
        <f>COUNTIFS('Teste D0'!$E$2:$E$81,A4,'Teste D0'!$G$2:$G$81,"&lt;&gt;")</f>
        <v/>
      </c>
      <c r="C4" s="2">
        <f>COUNTIFS('Teste D0'!$E$2:$E$81,A4,'Teste D0'!$G$2:$G$81,"Sim")</f>
        <v/>
      </c>
      <c r="D4" s="11">
        <f>IFERROR(C4/B4,"-")</f>
        <v/>
      </c>
      <c r="E4" s="2" t="n"/>
    </row>
    <row r="5">
      <c r="A5" s="2" t="inlineStr">
        <is>
          <t>Google AI</t>
        </is>
      </c>
      <c r="B5" s="2">
        <f>COUNTIFS('Teste D0'!$E$2:$E$81,A5,'Teste D0'!$G$2:$G$81,"&lt;&gt;")</f>
        <v/>
      </c>
      <c r="C5" s="2">
        <f>COUNTIFS('Teste D0'!$E$2:$E$81,A5,'Teste D0'!$G$2:$G$81,"Sim")</f>
        <v/>
      </c>
      <c r="D5" s="11">
        <f>IFERROR(C5/B5,"-")</f>
        <v/>
      </c>
      <c r="E5" s="2" t="n"/>
    </row>
    <row r="6">
      <c r="A6" s="2" t="inlineStr">
        <is>
          <t>Gemini</t>
        </is>
      </c>
      <c r="B6" s="2">
        <f>COUNTIFS('Teste D0'!$E$2:$E$81,A6,'Teste D0'!$G$2:$G$81,"&lt;&gt;")</f>
        <v/>
      </c>
      <c r="C6" s="2">
        <f>COUNTIFS('Teste D0'!$E$2:$E$81,A6,'Teste D0'!$G$2:$G$81,"Sim")</f>
        <v/>
      </c>
      <c r="D6" s="11">
        <f>IFERROR(C6/B6,"-")</f>
        <v/>
      </c>
      <c r="E6" s="2" t="n"/>
    </row>
    <row r="7">
      <c r="A7" s="2" t="inlineStr">
        <is>
          <t>Copilot</t>
        </is>
      </c>
      <c r="B7" s="2">
        <f>COUNTIFS('Teste D0'!$E$2:$E$81,A7,'Teste D0'!$G$2:$G$81,"&lt;&gt;")</f>
        <v/>
      </c>
      <c r="C7" s="2">
        <f>COUNTIFS('Teste D0'!$E$2:$E$81,A7,'Teste D0'!$G$2:$G$81,"Sim")</f>
        <v/>
      </c>
      <c r="D7" s="11">
        <f>IFERROR(C7/B7,"-")</f>
        <v/>
      </c>
      <c r="E7" s="2" t="n"/>
    </row>
    <row r="8">
      <c r="A8" s="3" t="inlineStr">
        <is>
          <t>Total (prompt × plataforma)</t>
        </is>
      </c>
      <c r="B8" s="2">
        <f>SUM(B4:B7)</f>
        <v/>
      </c>
      <c r="C8" s="2">
        <f>SUM(C4:C7)</f>
        <v/>
      </c>
      <c r="D8" s="12">
        <f>IFERROR(C8/B8,"-")</f>
        <v/>
      </c>
      <c r="E8" s="2" t="n"/>
    </row>
    <row r="9">
      <c r="A9" s="2" t="n"/>
      <c r="B9" s="2" t="n"/>
      <c r="C9" s="2" t="n"/>
      <c r="D9" s="2" t="n"/>
      <c r="E9" s="2" t="n"/>
    </row>
    <row r="10">
      <c r="A10" s="3" t="inlineStr">
        <is>
          <t>Por prompt (aparece em pelo menos 1 plataforma)</t>
        </is>
      </c>
      <c r="B10" s="2" t="n"/>
      <c r="C10" s="2" t="n"/>
      <c r="D10" s="2" t="n"/>
      <c r="E10" s="2" t="n"/>
    </row>
    <row r="11">
      <c r="A11" s="10" t="inlineStr">
        <is>
          <t>#</t>
        </is>
      </c>
      <c r="B11" s="10" t="inlineStr">
        <is>
          <t>Prompt</t>
        </is>
      </c>
      <c r="C11" s="10" t="inlineStr">
        <is>
          <t>Plataformas testadas</t>
        </is>
      </c>
      <c r="D11" s="10" t="inlineStr">
        <is>
          <t>Apareceu em</t>
        </is>
      </c>
      <c r="E11" s="10" t="inlineStr">
        <is>
          <t>Apareceu em alguma?</t>
        </is>
      </c>
    </row>
    <row r="12">
      <c r="A12" s="2" t="n">
        <v>1</v>
      </c>
      <c r="B12" s="2" t="inlineStr">
        <is>
          <t>Como funciona um medidor de vazão eletromagnético?</t>
        </is>
      </c>
      <c r="C12" s="2">
        <f>COUNTIFS('Teste D0'!$A$2:$A$81,A12,'Teste D0'!$G$2:$G$81,"&lt;&gt;")</f>
        <v/>
      </c>
      <c r="D12" s="2">
        <f>COUNTIFS('Teste D0'!$A$2:$A$81,A12,'Teste D0'!$G$2:$G$81,"Sim")</f>
        <v/>
      </c>
      <c r="E12" s="2">
        <f>IF(C12=0,"-",IF(D12&gt;0,"Sim","Não"))</f>
        <v/>
      </c>
    </row>
    <row r="13">
      <c r="A13" s="2" t="n">
        <v>2</v>
      </c>
      <c r="B13" s="2" t="inlineStr">
        <is>
          <t>Medidor eletromagnético precisa de trecho reto? Quanto?</t>
        </is>
      </c>
      <c r="C13" s="2">
        <f>COUNTIFS('Teste D0'!$A$2:$A$81,A13,'Teste D0'!$G$2:$G$81,"&lt;&gt;")</f>
        <v/>
      </c>
      <c r="D13" s="2">
        <f>COUNTIFS('Teste D0'!$A$2:$A$81,A13,'Teste D0'!$G$2:$G$81,"Sim")</f>
        <v/>
      </c>
      <c r="E13" s="2">
        <f>IF(C13=0,"-",IF(D13&gt;0,"Sim","Não"))</f>
        <v/>
      </c>
    </row>
    <row r="14">
      <c r="A14" s="2" t="n">
        <v>3</v>
      </c>
      <c r="B14" s="2" t="inlineStr">
        <is>
          <t>Qual a condutividade mínima para usar medidor eletromagnético?</t>
        </is>
      </c>
      <c r="C14" s="2">
        <f>COUNTIFS('Teste D0'!$A$2:$A$81,A14,'Teste D0'!$G$2:$G$81,"&lt;&gt;")</f>
        <v/>
      </c>
      <c r="D14" s="2">
        <f>COUNTIFS('Teste D0'!$A$2:$A$81,A14,'Teste D0'!$G$2:$G$81,"Sim")</f>
        <v/>
      </c>
      <c r="E14" s="2">
        <f>IF(C14=0,"-",IF(D14&gt;0,"Sim","Não"))</f>
        <v/>
      </c>
    </row>
    <row r="15">
      <c r="A15" s="2" t="n">
        <v>4</v>
      </c>
      <c r="B15" s="2" t="inlineStr">
        <is>
          <t>Por que o medidor eletromagnético precisa de aterramento?</t>
        </is>
      </c>
      <c r="C15" s="2">
        <f>COUNTIFS('Teste D0'!$A$2:$A$81,A15,'Teste D0'!$G$2:$G$81,"&lt;&gt;")</f>
        <v/>
      </c>
      <c r="D15" s="2">
        <f>COUNTIFS('Teste D0'!$A$2:$A$81,A15,'Teste D0'!$G$2:$G$81,"Sim")</f>
        <v/>
      </c>
      <c r="E15" s="2">
        <f>IF(C15=0,"-",IF(D15&gt;0,"Sim","Não"))</f>
        <v/>
      </c>
    </row>
    <row r="16">
      <c r="A16" s="2" t="n">
        <v>5</v>
      </c>
      <c r="B16" s="2" t="inlineStr">
        <is>
          <t>Qual medidor de vazão usar para água com sólidos?</t>
        </is>
      </c>
      <c r="C16" s="2">
        <f>COUNTIFS('Teste D0'!$A$2:$A$81,A16,'Teste D0'!$G$2:$G$81,"&lt;&gt;")</f>
        <v/>
      </c>
      <c r="D16" s="2">
        <f>COUNTIFS('Teste D0'!$A$2:$A$81,A16,'Teste D0'!$G$2:$G$81,"Sim")</f>
        <v/>
      </c>
      <c r="E16" s="2">
        <f>IF(C16=0,"-",IF(D16&gt;0,"Sim","Não"))</f>
        <v/>
      </c>
    </row>
    <row r="17">
      <c r="A17" s="2" t="n">
        <v>6</v>
      </c>
      <c r="B17" s="2" t="inlineStr">
        <is>
          <t>Como escolher o revestimento de um medidor eletromagnético?</t>
        </is>
      </c>
      <c r="C17" s="2">
        <f>COUNTIFS('Teste D0'!$A$2:$A$81,A17,'Teste D0'!$G$2:$G$81,"&lt;&gt;")</f>
        <v/>
      </c>
      <c r="D17" s="2">
        <f>COUNTIFS('Teste D0'!$A$2:$A$81,A17,'Teste D0'!$G$2:$G$81,"Sim")</f>
        <v/>
      </c>
      <c r="E17" s="2">
        <f>IF(C17=0,"-",IF(D17&gt;0,"Sim","Não"))</f>
        <v/>
      </c>
    </row>
    <row r="18">
      <c r="A18" s="2" t="n">
        <v>7</v>
      </c>
      <c r="B18" s="2" t="inlineStr">
        <is>
          <t>Como dimensionar um medidor eletromagnético (qual DN escolher)?</t>
        </is>
      </c>
      <c r="C18" s="2">
        <f>COUNTIFS('Teste D0'!$A$2:$A$81,A18,'Teste D0'!$G$2:$G$81,"&lt;&gt;")</f>
        <v/>
      </c>
      <c r="D18" s="2">
        <f>COUNTIFS('Teste D0'!$A$2:$A$81,A18,'Teste D0'!$G$2:$G$81,"Sim")</f>
        <v/>
      </c>
      <c r="E18" s="2">
        <f>IF(C18=0,"-",IF(D18&gt;0,"Sim","Não"))</f>
        <v/>
      </c>
    </row>
    <row r="19">
      <c r="A19" s="2" t="n">
        <v>8</v>
      </c>
      <c r="B19" s="2" t="inlineStr">
        <is>
          <t>Qual material de eletrodo usar para ácidos e produtos corrosivos?</t>
        </is>
      </c>
      <c r="C19" s="2">
        <f>COUNTIFS('Teste D0'!$A$2:$A$81,A19,'Teste D0'!$G$2:$G$81,"&lt;&gt;")</f>
        <v/>
      </c>
      <c r="D19" s="2">
        <f>COUNTIFS('Teste D0'!$A$2:$A$81,A19,'Teste D0'!$G$2:$G$81,"Sim")</f>
        <v/>
      </c>
      <c r="E19" s="2">
        <f>IF(C19=0,"-",IF(D19&gt;0,"Sim","Não"))</f>
        <v/>
      </c>
    </row>
    <row r="20">
      <c r="A20" s="2" t="n">
        <v>9</v>
      </c>
      <c r="B20" s="2" t="inlineStr">
        <is>
          <t>Qual a diferença entre medidor eletromagnético e ultrassônico?</t>
        </is>
      </c>
      <c r="C20" s="2">
        <f>COUNTIFS('Teste D0'!$A$2:$A$81,A20,'Teste D0'!$G$2:$G$81,"&lt;&gt;")</f>
        <v/>
      </c>
      <c r="D20" s="2">
        <f>COUNTIFS('Teste D0'!$A$2:$A$81,A20,'Teste D0'!$G$2:$G$81,"Sim")</f>
        <v/>
      </c>
      <c r="E20" s="2">
        <f>IF(C20=0,"-",IF(D20&gt;0,"Sim","Não"))</f>
        <v/>
      </c>
    </row>
    <row r="21">
      <c r="A21" s="2" t="n">
        <v>10</v>
      </c>
      <c r="B21" s="2" t="inlineStr">
        <is>
          <t>Medidor eletromagnético ou vortex: qual escolher?</t>
        </is>
      </c>
      <c r="C21" s="2">
        <f>COUNTIFS('Teste D0'!$A$2:$A$81,A21,'Teste D0'!$G$2:$G$81,"&lt;&gt;")</f>
        <v/>
      </c>
      <c r="D21" s="2">
        <f>COUNTIFS('Teste D0'!$A$2:$A$81,A21,'Teste D0'!$G$2:$G$81,"Sim")</f>
        <v/>
      </c>
      <c r="E21" s="2">
        <f>IF(C21=0,"-",IF(D21&gt;0,"Sim","Não"))</f>
        <v/>
      </c>
    </row>
    <row r="22">
      <c r="A22" s="2" t="n">
        <v>11</v>
      </c>
      <c r="B22" s="2" t="inlineStr">
        <is>
          <t>Medidor eletromagnético ou hidrômetro Woltmann para rede de água?</t>
        </is>
      </c>
      <c r="C22" s="2">
        <f>COUNTIFS('Teste D0'!$A$2:$A$81,A22,'Teste D0'!$G$2:$G$81,"&lt;&gt;")</f>
        <v/>
      </c>
      <c r="D22" s="2">
        <f>COUNTIFS('Teste D0'!$A$2:$A$81,A22,'Teste D0'!$G$2:$G$81,"Sim")</f>
        <v/>
      </c>
      <c r="E22" s="2">
        <f>IF(C22=0,"-",IF(D22&gt;0,"Sim","Não"))</f>
        <v/>
      </c>
    </row>
    <row r="23">
      <c r="A23" s="2" t="n">
        <v>12</v>
      </c>
      <c r="B23" s="2" t="inlineStr">
        <is>
          <t>Medidor eletromagnético ou turbina para água limpa?</t>
        </is>
      </c>
      <c r="C23" s="2">
        <f>COUNTIFS('Teste D0'!$A$2:$A$81,A23,'Teste D0'!$G$2:$G$81,"&lt;&gt;")</f>
        <v/>
      </c>
      <c r="D23" s="2">
        <f>COUNTIFS('Teste D0'!$A$2:$A$81,A23,'Teste D0'!$G$2:$G$81,"Sim")</f>
        <v/>
      </c>
      <c r="E23" s="2">
        <f>IF(C23=0,"-",IF(D23&gt;0,"Sim","Não"))</f>
        <v/>
      </c>
    </row>
    <row r="24">
      <c r="A24" s="2" t="n">
        <v>13</v>
      </c>
      <c r="B24" s="2" t="inlineStr">
        <is>
          <t>Qual medidor usar para vazão de efluentes em ETE?</t>
        </is>
      </c>
      <c r="C24" s="2">
        <f>COUNTIFS('Teste D0'!$A$2:$A$81,A24,'Teste D0'!$G$2:$G$81,"&lt;&gt;")</f>
        <v/>
      </c>
      <c r="D24" s="2">
        <f>COUNTIFS('Teste D0'!$A$2:$A$81,A24,'Teste D0'!$G$2:$G$81,"Sim")</f>
        <v/>
      </c>
      <c r="E24" s="2">
        <f>IF(C24=0,"-",IF(D24&gt;0,"Sim","Não"))</f>
        <v/>
      </c>
    </row>
    <row r="25">
      <c r="A25" s="2" t="n">
        <v>14</v>
      </c>
      <c r="B25" s="2" t="inlineStr">
        <is>
          <t>Como medir vazão de polpa de mineração?</t>
        </is>
      </c>
      <c r="C25" s="2">
        <f>COUNTIFS('Teste D0'!$A$2:$A$81,A25,'Teste D0'!$G$2:$G$81,"&lt;&gt;")</f>
        <v/>
      </c>
      <c r="D25" s="2">
        <f>COUNTIFS('Teste D0'!$A$2:$A$81,A25,'Teste D0'!$G$2:$G$81,"Sim")</f>
        <v/>
      </c>
      <c r="E25" s="2">
        <f>IF(C25=0,"-",IF(D25&gt;0,"Sim","Não"))</f>
        <v/>
      </c>
    </row>
    <row r="26">
      <c r="A26" s="2" t="n">
        <v>15</v>
      </c>
      <c r="B26" s="2" t="inlineStr">
        <is>
          <t>Medidor de vazão para irrigação com outorga de água</t>
        </is>
      </c>
      <c r="C26" s="2">
        <f>COUNTIFS('Teste D0'!$A$2:$A$81,A26,'Teste D0'!$G$2:$G$81,"&lt;&gt;")</f>
        <v/>
      </c>
      <c r="D26" s="2">
        <f>COUNTIFS('Teste D0'!$A$2:$A$81,A26,'Teste D0'!$G$2:$G$81,"Sim")</f>
        <v/>
      </c>
      <c r="E26" s="2">
        <f>IF(C26=0,"-",IF(D26&gt;0,"Sim","Não"))</f>
        <v/>
      </c>
    </row>
    <row r="27">
      <c r="A27" s="2" t="n">
        <v>16</v>
      </c>
      <c r="B27" s="2" t="inlineStr">
        <is>
          <t>Medidor eletromagnético sanitário para indústria de alimentos (CIP)</t>
        </is>
      </c>
      <c r="C27" s="2">
        <f>COUNTIFS('Teste D0'!$A$2:$A$81,A27,'Teste D0'!$G$2:$G$81,"&lt;&gt;")</f>
        <v/>
      </c>
      <c r="D27" s="2">
        <f>COUNTIFS('Teste D0'!$A$2:$A$81,A27,'Teste D0'!$G$2:$G$81,"Sim")</f>
        <v/>
      </c>
      <c r="E27" s="2">
        <f>IF(C27=0,"-",IF(D27&gt;0,"Sim","Não"))</f>
        <v/>
      </c>
    </row>
    <row r="28">
      <c r="A28" s="2" t="n">
        <v>17</v>
      </c>
      <c r="B28" s="2" t="inlineStr">
        <is>
          <t>Fabricante brasileiro de medidor de vazão eletromagnético</t>
        </is>
      </c>
      <c r="C28" s="2">
        <f>COUNTIFS('Teste D0'!$A$2:$A$81,A28,'Teste D0'!$G$2:$G$81,"&lt;&gt;")</f>
        <v/>
      </c>
      <c r="D28" s="2">
        <f>COUNTIFS('Teste D0'!$A$2:$A$81,A28,'Teste D0'!$G$2:$G$81,"Sim")</f>
        <v/>
      </c>
      <c r="E28" s="2">
        <f>IF(C28=0,"-",IF(D28&gt;0,"Sim","Não"))</f>
        <v/>
      </c>
    </row>
    <row r="29">
      <c r="A29" s="2" t="n">
        <v>18</v>
      </c>
      <c r="B29" s="2" t="inlineStr">
        <is>
          <t>Onde comprar medidor eletromagnético com calibração e suporte técnico no Brasil</t>
        </is>
      </c>
      <c r="C29" s="2">
        <f>COUNTIFS('Teste D0'!$A$2:$A$81,A29,'Teste D0'!$G$2:$G$81,"&lt;&gt;")</f>
        <v/>
      </c>
      <c r="D29" s="2">
        <f>COUNTIFS('Teste D0'!$A$2:$A$81,A29,'Teste D0'!$G$2:$G$81,"Sim")</f>
        <v/>
      </c>
      <c r="E29" s="2">
        <f>IF(C29=0,"-",IF(D29&gt;0,"Sim","Não"))</f>
        <v/>
      </c>
    </row>
    <row r="30">
      <c r="A30" s="2" t="n">
        <v>19</v>
      </c>
      <c r="B30" s="2" t="inlineStr">
        <is>
          <t>Por que meu medidor eletromagnético está marcando vazão errada?</t>
        </is>
      </c>
      <c r="C30" s="2">
        <f>COUNTIFS('Teste D0'!$A$2:$A$81,A30,'Teste D0'!$G$2:$G$81,"&lt;&gt;")</f>
        <v/>
      </c>
      <c r="D30" s="2">
        <f>COUNTIFS('Teste D0'!$A$2:$A$81,A30,'Teste D0'!$G$2:$G$81,"Sim")</f>
        <v/>
      </c>
      <c r="E30" s="2">
        <f>IF(C30=0,"-",IF(D30&gt;0,"Sim","Não"))</f>
        <v/>
      </c>
    </row>
    <row r="31">
      <c r="A31" s="2" t="n">
        <v>20</v>
      </c>
      <c r="B31" s="2" t="inlineStr">
        <is>
          <t>Medidor eletromagnético oscilando ou marcando vazão com a linha parada: o que fazer?</t>
        </is>
      </c>
      <c r="C31" s="2">
        <f>COUNTIFS('Teste D0'!$A$2:$A$81,A31,'Teste D0'!$G$2:$G$81,"&lt;&gt;")</f>
        <v/>
      </c>
      <c r="D31" s="2">
        <f>COUNTIFS('Teste D0'!$A$2:$A$81,A31,'Teste D0'!$G$2:$G$81,"Sim")</f>
        <v/>
      </c>
      <c r="E31" s="2">
        <f>IF(C31=0,"-",IF(D31&gt;0,"Sim","Não"))</f>
        <v/>
      </c>
    </row>
    <row r="32">
      <c r="A32" s="2" t="n"/>
      <c r="B32" s="2" t="n"/>
      <c r="C32" s="2" t="n"/>
      <c r="D32" s="2" t="n"/>
      <c r="E32" s="2" t="n"/>
    </row>
    <row r="33">
      <c r="A33" s="3" t="inlineStr">
        <is>
          <t>AI Citation Share (prompts)</t>
        </is>
      </c>
      <c r="B33" s="2" t="n"/>
      <c r="C33" s="2">
        <f>COUNTIF(C12:C31,"&gt;0")</f>
        <v/>
      </c>
      <c r="D33" s="2">
        <f>COUNTIF(E12:E31,"Sim")</f>
        <v/>
      </c>
      <c r="E33" s="12">
        <f>IFERROR(D33/C33,"-")</f>
        <v/>
      </c>
    </row>
    <row r="34">
      <c r="A34" s="2" t="inlineStr"/>
      <c r="B34" s="2" t="inlineStr"/>
      <c r="C34" s="2" t="inlineStr">
        <is>
          <t>prompts testados</t>
        </is>
      </c>
      <c r="D34" s="2" t="inlineStr">
        <is>
          <t>prompts com Techmeter</t>
        </is>
      </c>
      <c r="E34" s="2" t="inlineStr">
        <is>
          <t>share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2" customWidth="1" min="3" max="3"/>
    <col width="14" customWidth="1" min="4" max="4"/>
    <col width="14" customWidth="1" min="5" max="5"/>
    <col width="11" customWidth="1" min="6" max="6"/>
    <col width="45" customWidth="1" min="7" max="7"/>
    <col width="30" customWidth="1" min="8" max="8"/>
  </cols>
  <sheetData>
    <row r="1" ht="30" customHeight="1">
      <c r="A1" s="4" t="inlineStr">
        <is>
          <t>Victor: marque a prioridade de cada pergunta para os scripts dos vídeos, com base na experiência da manutenção. Preencha só as colunas amarelas.</t>
        </is>
      </c>
    </row>
    <row r="3">
      <c r="A3" s="5" t="inlineStr">
        <is>
          <t>Origem no documento</t>
        </is>
      </c>
      <c r="B3" s="5" t="inlineStr">
        <is>
          <t>Pergunta</t>
        </is>
      </c>
      <c r="C3" s="5" t="inlineStr">
        <is>
          <t>Intenção / quem responde</t>
        </is>
      </c>
      <c r="D3" s="5" t="inlineStr">
        <is>
          <t>Prioridade sugerida (doc)</t>
        </is>
      </c>
      <c r="E3" s="5" t="inlineStr">
        <is>
          <t>Prioridade Victor</t>
        </is>
      </c>
      <c r="F3" s="5" t="inlineStr">
        <is>
          <t>Vira vídeo?</t>
        </is>
      </c>
      <c r="G3" s="5" t="inlineStr">
        <is>
          <t>O que a manutenção vê no campo</t>
        </is>
      </c>
      <c r="H3" s="5" t="inlineStr">
        <is>
          <t>Observações</t>
        </is>
      </c>
    </row>
    <row r="4">
      <c r="A4" s="6" t="inlineStr">
        <is>
          <t>Perguntas priorizadas</t>
        </is>
      </c>
      <c r="B4" s="6" t="inlineStr">
        <is>
          <t>Qual medidor de vazão usar para líquidos com sólidos em suspensão?</t>
        </is>
      </c>
      <c r="C4" s="6" t="inlineStr">
        <is>
          <t>Escolha</t>
        </is>
      </c>
      <c r="D4" s="6" t="inlineStr">
        <is>
          <t>⭐⭐⭐</t>
        </is>
      </c>
      <c r="E4" s="8" t="n"/>
      <c r="F4" s="8" t="n"/>
      <c r="G4" s="8" t="n"/>
      <c r="H4" s="8" t="n"/>
    </row>
    <row r="5">
      <c r="A5" s="6" t="inlineStr">
        <is>
          <t>Perguntas priorizadas</t>
        </is>
      </c>
      <c r="B5" s="6" t="inlineStr">
        <is>
          <t>Qual medidor de vazão é indicado para efluentes?</t>
        </is>
      </c>
      <c r="C5" s="6" t="inlineStr">
        <is>
          <t>Escolha</t>
        </is>
      </c>
      <c r="D5" s="6" t="inlineStr">
        <is>
          <t>⭐⭐⭐</t>
        </is>
      </c>
      <c r="E5" s="8" t="n"/>
      <c r="F5" s="8" t="n"/>
      <c r="G5" s="8" t="n"/>
      <c r="H5" s="8" t="n"/>
    </row>
    <row r="6">
      <c r="A6" s="6" t="inlineStr">
        <is>
          <t>Perguntas priorizadas</t>
        </is>
      </c>
      <c r="B6" s="6" t="inlineStr">
        <is>
          <t>Qual medidor usar para produtos químicos corrosivos?</t>
        </is>
      </c>
      <c r="C6" s="6" t="inlineStr">
        <is>
          <t>Escolha</t>
        </is>
      </c>
      <c r="D6" s="6" t="inlineStr">
        <is>
          <t>⭐⭐⭐</t>
        </is>
      </c>
      <c r="E6" s="8" t="n"/>
      <c r="F6" s="8" t="n"/>
      <c r="G6" s="8" t="n"/>
      <c r="H6" s="8" t="n"/>
    </row>
    <row r="7">
      <c r="A7" s="6" t="inlineStr">
        <is>
          <t>Perguntas priorizadas</t>
        </is>
      </c>
      <c r="B7" s="6" t="inlineStr">
        <is>
          <t>Qual medidor de vazão não causa perda de carga?</t>
        </is>
      </c>
      <c r="C7" s="6" t="inlineStr">
        <is>
          <t>Escolha</t>
        </is>
      </c>
      <c r="D7" s="6" t="inlineStr">
        <is>
          <t>⭐⭐⭐</t>
        </is>
      </c>
      <c r="E7" s="8" t="n"/>
      <c r="F7" s="8" t="n"/>
      <c r="G7" s="8" t="n"/>
      <c r="H7" s="8" t="n"/>
    </row>
    <row r="8">
      <c r="A8" s="6" t="inlineStr">
        <is>
          <t>Perguntas priorizadas</t>
        </is>
      </c>
      <c r="B8" s="6" t="inlineStr">
        <is>
          <t>Qual medidor de vazão não possui partes móveis?</t>
        </is>
      </c>
      <c r="C8" s="6" t="inlineStr">
        <is>
          <t>Escolha</t>
        </is>
      </c>
      <c r="D8" s="6" t="inlineStr">
        <is>
          <t>⭐⭐⭐</t>
        </is>
      </c>
      <c r="E8" s="8" t="n"/>
      <c r="F8" s="8" t="n"/>
      <c r="G8" s="8" t="n"/>
      <c r="H8" s="8" t="n"/>
    </row>
    <row r="9">
      <c r="A9" s="6" t="inlineStr">
        <is>
          <t>Perguntas priorizadas</t>
        </is>
      </c>
      <c r="B9" s="6" t="inlineStr">
        <is>
          <t>Eletromagnético ou ultrassônico: qual é melhor?</t>
        </is>
      </c>
      <c r="C9" s="6" t="inlineStr">
        <is>
          <t>Comparação</t>
        </is>
      </c>
      <c r="D9" s="6" t="inlineStr">
        <is>
          <t>⭐⭐⭐</t>
        </is>
      </c>
      <c r="E9" s="8" t="n"/>
      <c r="F9" s="8" t="n"/>
      <c r="G9" s="8" t="n"/>
      <c r="H9" s="8" t="n"/>
    </row>
    <row r="10">
      <c r="A10" s="6" t="inlineStr">
        <is>
          <t>Perguntas priorizadas</t>
        </is>
      </c>
      <c r="B10" s="6" t="inlineStr">
        <is>
          <t>Quando devo usar um medidor de vazão eletromagnético?</t>
        </is>
      </c>
      <c r="C10" s="6" t="inlineStr">
        <is>
          <t>Escolha</t>
        </is>
      </c>
      <c r="D10" s="6" t="inlineStr">
        <is>
          <t>⭐⭐⭐</t>
        </is>
      </c>
      <c r="E10" s="8" t="n"/>
      <c r="F10" s="8" t="n"/>
      <c r="G10" s="8" t="n"/>
      <c r="H10" s="8" t="n"/>
    </row>
    <row r="11">
      <c r="A11" s="6" t="inlineStr">
        <is>
          <t>Perguntas priorizadas</t>
        </is>
      </c>
      <c r="B11" s="6" t="inlineStr">
        <is>
          <t>Quando não devo usar um medidor eletromagnético?</t>
        </is>
      </c>
      <c r="C11" s="6" t="inlineStr">
        <is>
          <t>Escolha</t>
        </is>
      </c>
      <c r="D11" s="6" t="inlineStr">
        <is>
          <t>⭐⭐⭐</t>
        </is>
      </c>
      <c r="E11" s="8" t="n"/>
      <c r="F11" s="8" t="n"/>
      <c r="G11" s="8" t="n"/>
      <c r="H11" s="8" t="n"/>
    </row>
    <row r="12">
      <c r="A12" s="6" t="inlineStr">
        <is>
          <t>Perguntas priorizadas</t>
        </is>
      </c>
      <c r="B12" s="6" t="inlineStr">
        <is>
          <t>Medidor eletromagnético pode medir água com sólidos?</t>
        </is>
      </c>
      <c r="C12" s="6" t="inlineStr">
        <is>
          <t>Aplicação</t>
        </is>
      </c>
      <c r="D12" s="6" t="inlineStr">
        <is>
          <t>⭐⭐⭐</t>
        </is>
      </c>
      <c r="E12" s="8" t="n"/>
      <c r="F12" s="8" t="n"/>
      <c r="G12" s="8" t="n"/>
      <c r="H12" s="8" t="n"/>
    </row>
    <row r="13">
      <c r="A13" s="6" t="inlineStr">
        <is>
          <t>Perguntas priorizadas</t>
        </is>
      </c>
      <c r="B13" s="6" t="inlineStr">
        <is>
          <t>Medidor eletromagnético pode medir esgoto?</t>
        </is>
      </c>
      <c r="C13" s="6" t="inlineStr">
        <is>
          <t>Aplicação</t>
        </is>
      </c>
      <c r="D13" s="6" t="inlineStr">
        <is>
          <t>⭐⭐⭐</t>
        </is>
      </c>
      <c r="E13" s="8" t="n"/>
      <c r="F13" s="8" t="n"/>
      <c r="G13" s="8" t="n"/>
      <c r="H13" s="8" t="n"/>
    </row>
    <row r="14">
      <c r="A14" s="6" t="inlineStr">
        <is>
          <t>Perguntas priorizadas</t>
        </is>
      </c>
      <c r="B14" s="6" t="inlineStr">
        <is>
          <t>Medidor eletromagnético pode medir produtos químicos?</t>
        </is>
      </c>
      <c r="C14" s="6" t="inlineStr">
        <is>
          <t>Aplicação</t>
        </is>
      </c>
      <c r="D14" s="6" t="inlineStr">
        <is>
          <t>⭐⭐⭐</t>
        </is>
      </c>
      <c r="E14" s="8" t="n"/>
      <c r="F14" s="8" t="n"/>
      <c r="G14" s="8" t="n"/>
      <c r="H14" s="8" t="n"/>
    </row>
    <row r="15">
      <c r="A15" s="6" t="inlineStr">
        <is>
          <t>Perguntas priorizadas</t>
        </is>
      </c>
      <c r="B15" s="6" t="inlineStr">
        <is>
          <t>Como escolher um medidor de vazão eletromagnético?</t>
        </is>
      </c>
      <c r="C15" s="6" t="inlineStr">
        <is>
          <t>Compra</t>
        </is>
      </c>
      <c r="D15" s="6" t="inlineStr">
        <is>
          <t>⭐⭐⭐</t>
        </is>
      </c>
      <c r="E15" s="8" t="n"/>
      <c r="F15" s="8" t="n"/>
      <c r="G15" s="8" t="n"/>
      <c r="H15" s="8" t="n"/>
    </row>
    <row r="16">
      <c r="A16" s="6" t="inlineStr">
        <is>
          <t>Perguntas priorizadas</t>
        </is>
      </c>
      <c r="B16" s="6" t="inlineStr">
        <is>
          <t>Qual a condutividade mínima para usar um eletromagnético?</t>
        </is>
      </c>
      <c r="C16" s="6" t="inlineStr">
        <is>
          <t>Especificação</t>
        </is>
      </c>
      <c r="D16" s="6" t="inlineStr">
        <is>
          <t>⭐⭐</t>
        </is>
      </c>
      <c r="E16" s="8" t="n"/>
      <c r="F16" s="8" t="n"/>
      <c r="G16" s="8" t="n"/>
      <c r="H16" s="8" t="n"/>
    </row>
    <row r="17">
      <c r="A17" s="6" t="inlineStr">
        <is>
          <t>Perguntas priorizadas</t>
        </is>
      </c>
      <c r="B17" s="6" t="inlineStr">
        <is>
          <t>Água desmineralizada pode ser medida por eletromagnético?</t>
        </is>
      </c>
      <c r="C17" s="6" t="inlineStr">
        <is>
          <t>Aplicação</t>
        </is>
      </c>
      <c r="D17" s="6" t="inlineStr">
        <is>
          <t>⭐⭐</t>
        </is>
      </c>
      <c r="E17" s="8" t="n"/>
      <c r="F17" s="8" t="n"/>
      <c r="G17" s="8" t="n"/>
      <c r="H17" s="8" t="n"/>
    </row>
    <row r="18">
      <c r="A18" s="6" t="inlineStr">
        <is>
          <t>Perguntas priorizadas</t>
        </is>
      </c>
      <c r="B18" s="6" t="inlineStr">
        <is>
          <t>Medidor eletromagnético mede óleo?</t>
        </is>
      </c>
      <c r="C18" s="6" t="inlineStr">
        <is>
          <t>Aplicação</t>
        </is>
      </c>
      <c r="D18" s="6" t="inlineStr">
        <is>
          <t>⭐⭐</t>
        </is>
      </c>
      <c r="E18" s="8" t="n"/>
      <c r="F18" s="8" t="n"/>
      <c r="G18" s="8" t="n"/>
      <c r="H18" s="8" t="n"/>
    </row>
    <row r="19">
      <c r="A19" s="6" t="inlineStr">
        <is>
          <t>Perguntas priorizadas</t>
        </is>
      </c>
      <c r="B19" s="6" t="inlineStr">
        <is>
          <t>Medidor eletromagnético mede gases ou vapor?</t>
        </is>
      </c>
      <c r="C19" s="6" t="inlineStr">
        <is>
          <t>Aplicação</t>
        </is>
      </c>
      <c r="D19" s="6" t="inlineStr">
        <is>
          <t>⭐⭐</t>
        </is>
      </c>
      <c r="E19" s="8" t="n"/>
      <c r="F19" s="8" t="n"/>
      <c r="G19" s="8" t="n"/>
      <c r="H19" s="8" t="n"/>
    </row>
    <row r="20">
      <c r="A20" s="6" t="inlineStr">
        <is>
          <t>Perguntas priorizadas</t>
        </is>
      </c>
      <c r="B20" s="6" t="inlineStr">
        <is>
          <t>Como escolher o revestimento do medidor eletromagnético?</t>
        </is>
      </c>
      <c r="C20" s="6" t="inlineStr">
        <is>
          <t>Especificação</t>
        </is>
      </c>
      <c r="D20" s="6" t="inlineStr">
        <is>
          <t>⭐⭐</t>
        </is>
      </c>
      <c r="E20" s="8" t="n"/>
      <c r="F20" s="8" t="n"/>
      <c r="G20" s="8" t="n"/>
      <c r="H20" s="8" t="n"/>
    </row>
    <row r="21">
      <c r="A21" s="6" t="inlineStr">
        <is>
          <t>Perguntas priorizadas</t>
        </is>
      </c>
      <c r="B21" s="6" t="inlineStr">
        <is>
          <t>Como escolher o material dos eletrodos?</t>
        </is>
      </c>
      <c r="C21" s="6" t="inlineStr">
        <is>
          <t>Especificação</t>
        </is>
      </c>
      <c r="D21" s="6" t="inlineStr">
        <is>
          <t>⭐⭐</t>
        </is>
      </c>
      <c r="E21" s="8" t="n"/>
      <c r="F21" s="8" t="n"/>
      <c r="G21" s="8" t="n"/>
      <c r="H21" s="8" t="n"/>
    </row>
    <row r="22">
      <c r="A22" s="6" t="inlineStr">
        <is>
          <t>Perguntas priorizadas</t>
        </is>
      </c>
      <c r="B22" s="6" t="inlineStr">
        <is>
          <t>PTFE ou borracha: qual revestimento escolher?</t>
        </is>
      </c>
      <c r="C22" s="6" t="inlineStr">
        <is>
          <t>Comparação</t>
        </is>
      </c>
      <c r="D22" s="6" t="inlineStr">
        <is>
          <t>⭐⭐</t>
        </is>
      </c>
      <c r="E22" s="8" t="n"/>
      <c r="F22" s="8" t="n"/>
      <c r="G22" s="8" t="n"/>
      <c r="H22" s="8" t="n"/>
    </row>
    <row r="23">
      <c r="A23" s="6" t="inlineStr">
        <is>
          <t>Perguntas priorizadas</t>
        </is>
      </c>
      <c r="B23" s="6" t="inlineStr">
        <is>
          <t>Qual medidor usar para fluido corrosivo com particulados?</t>
        </is>
      </c>
      <c r="C23" s="6" t="inlineStr">
        <is>
          <t>Problema real</t>
        </is>
      </c>
      <c r="D23" s="6" t="inlineStr">
        <is>
          <t>⭐⭐</t>
        </is>
      </c>
      <c r="E23" s="8" t="n"/>
      <c r="F23" s="8" t="n"/>
      <c r="G23" s="8" t="n"/>
      <c r="H23" s="8" t="n"/>
    </row>
    <row r="24">
      <c r="A24" s="6" t="inlineStr">
        <is>
          <t>Perguntas priorizadas</t>
        </is>
      </c>
      <c r="B24" s="6" t="inlineStr">
        <is>
          <t>O medidor eletromagnético precisa de trecho reto?</t>
        </is>
      </c>
      <c r="C24" s="6" t="inlineStr">
        <is>
          <t>Instalação</t>
        </is>
      </c>
      <c r="D24" s="6" t="inlineStr">
        <is>
          <t>⭐⭐</t>
        </is>
      </c>
      <c r="E24" s="8" t="n"/>
      <c r="F24" s="8" t="n"/>
      <c r="G24" s="8" t="n"/>
      <c r="H24" s="8" t="n"/>
    </row>
    <row r="25">
      <c r="A25" s="6" t="inlineStr">
        <is>
          <t>Perguntas priorizadas</t>
        </is>
      </c>
      <c r="B25" s="6" t="inlineStr">
        <is>
          <t>O tubo precisa estar totalmente cheio?</t>
        </is>
      </c>
      <c r="C25" s="6" t="inlineStr">
        <is>
          <t>Instalação</t>
        </is>
      </c>
      <c r="D25" s="6" t="inlineStr">
        <is>
          <t>⭐⭐</t>
        </is>
      </c>
      <c r="E25" s="8" t="n"/>
      <c r="F25" s="8" t="n"/>
      <c r="G25" s="8" t="n"/>
      <c r="H25" s="8" t="n"/>
    </row>
    <row r="26">
      <c r="A26" s="6" t="inlineStr">
        <is>
          <t>Perguntas priorizadas</t>
        </is>
      </c>
      <c r="B26" s="6" t="inlineStr">
        <is>
          <t>Como instalar corretamente um medidor eletromagnético?</t>
        </is>
      </c>
      <c r="C26" s="6" t="inlineStr">
        <is>
          <t>Instalação</t>
        </is>
      </c>
      <c r="D26" s="6" t="inlineStr">
        <is>
          <t>⭐⭐</t>
        </is>
      </c>
      <c r="E26" s="8" t="n"/>
      <c r="F26" s="8" t="n"/>
      <c r="G26" s="8" t="n"/>
      <c r="H26" s="8" t="n"/>
    </row>
    <row r="27">
      <c r="A27" s="6" t="inlineStr">
        <is>
          <t>Perguntas priorizadas</t>
        </is>
      </c>
      <c r="B27" s="6" t="inlineStr">
        <is>
          <t>Como dimensionar o diâmetro do medidor?</t>
        </is>
      </c>
      <c r="C27" s="6" t="inlineStr">
        <is>
          <t>Dimensionamento</t>
        </is>
      </c>
      <c r="D27" s="6" t="inlineStr">
        <is>
          <t>⭐⭐</t>
        </is>
      </c>
      <c r="E27" s="8" t="n"/>
      <c r="F27" s="8" t="n"/>
      <c r="G27" s="8" t="n"/>
      <c r="H27" s="8" t="n"/>
    </row>
    <row r="28">
      <c r="A28" s="6" t="inlineStr">
        <is>
          <t>Perguntas priorizadas</t>
        </is>
      </c>
      <c r="B28" s="6" t="inlineStr">
        <is>
          <t>Qual a precisão de um medidor eletromagnético?</t>
        </is>
      </c>
      <c r="C28" s="6" t="inlineStr">
        <is>
          <t>Especificação</t>
        </is>
      </c>
      <c r="D28" s="6" t="inlineStr">
        <is>
          <t>⭐⭐</t>
        </is>
      </c>
      <c r="E28" s="8" t="n"/>
      <c r="F28" s="8" t="n"/>
      <c r="G28" s="8" t="n"/>
      <c r="H28" s="8" t="n"/>
    </row>
    <row r="29">
      <c r="A29" s="6" t="inlineStr">
        <is>
          <t>Perguntas priorizadas</t>
        </is>
      </c>
      <c r="B29" s="6" t="inlineStr">
        <is>
          <t>Por que um medidor eletromagnético pode apresentar leitura errada?</t>
        </is>
      </c>
      <c r="C29" s="6" t="inlineStr">
        <is>
          <t>Diagnóstico</t>
        </is>
      </c>
      <c r="D29" s="6" t="inlineStr">
        <is>
          <t>⭐</t>
        </is>
      </c>
      <c r="E29" s="8" t="n"/>
      <c r="F29" s="8" t="n"/>
      <c r="G29" s="8" t="n"/>
      <c r="H29" s="8" t="n"/>
    </row>
    <row r="30">
      <c r="A30" s="6" t="inlineStr">
        <is>
          <t>Perguntas priorizadas</t>
        </is>
      </c>
      <c r="B30" s="6" t="inlineStr">
        <is>
          <t>É necessário aterramento?</t>
        </is>
      </c>
      <c r="C30" s="6" t="inlineStr">
        <is>
          <t>Instalação</t>
        </is>
      </c>
      <c r="D30" s="6" t="inlineStr">
        <is>
          <t>⭐</t>
        </is>
      </c>
      <c r="E30" s="8" t="n"/>
      <c r="F30" s="8" t="n"/>
      <c r="G30" s="8" t="n"/>
      <c r="H30" s="8" t="n"/>
    </row>
    <row r="31">
      <c r="A31" s="6" t="inlineStr">
        <is>
          <t>Perguntas priorizadas</t>
        </is>
      </c>
      <c r="B31" s="6" t="inlineStr">
        <is>
          <t>Medidor eletromagnético precisa de calibração?</t>
        </is>
      </c>
      <c r="C31" s="6" t="inlineStr">
        <is>
          <t>Manutenção</t>
        </is>
      </c>
      <c r="D31" s="6" t="inlineStr">
        <is>
          <t>⭐</t>
        </is>
      </c>
      <c r="E31" s="8" t="n"/>
      <c r="F31" s="8" t="n"/>
      <c r="G31" s="8" t="n"/>
      <c r="H31" s="8" t="n"/>
    </row>
    <row r="32">
      <c r="A32" s="6" t="inlineStr">
        <is>
          <t>Perguntas priorizadas</t>
        </is>
      </c>
      <c r="B32" s="6" t="inlineStr">
        <is>
          <t>Com que frequência deve ser calibrado?</t>
        </is>
      </c>
      <c r="C32" s="6" t="inlineStr">
        <is>
          <t>Manutenção</t>
        </is>
      </c>
      <c r="D32" s="6" t="inlineStr">
        <is>
          <t>⭐</t>
        </is>
      </c>
      <c r="E32" s="8" t="n"/>
      <c r="F32" s="8" t="n"/>
      <c r="G32" s="8" t="n"/>
      <c r="H32" s="8" t="n"/>
    </row>
    <row r="33">
      <c r="A33" s="6" t="inlineStr">
        <is>
          <t>Perguntas priorizadas</t>
        </is>
      </c>
      <c r="B33" s="6" t="inlineStr">
        <is>
          <t>Qual a vida útil de um medidor eletromagnético?</t>
        </is>
      </c>
      <c r="C33" s="6" t="inlineStr">
        <is>
          <t>Compra/manutenção</t>
        </is>
      </c>
      <c r="D33" s="6" t="inlineStr">
        <is>
          <t>⭐</t>
        </is>
      </c>
      <c r="E33" s="8" t="n"/>
      <c r="F33" s="8" t="n"/>
      <c r="G33" s="8" t="n"/>
      <c r="H33" s="8" t="n"/>
    </row>
    <row r="34">
      <c r="A34" s="6" t="inlineStr">
        <is>
          <t>FAQ (seção 5)</t>
        </is>
      </c>
      <c r="B34" s="6" t="inlineStr">
        <is>
          <t>O que é um medidor de vazão eletromagnético?</t>
        </is>
      </c>
      <c r="C34" s="6" t="inlineStr">
        <is>
          <t>FAQ do hub</t>
        </is>
      </c>
      <c r="D34" s="6" t="inlineStr">
        <is>
          <t>-</t>
        </is>
      </c>
      <c r="E34" s="8" t="n"/>
      <c r="F34" s="8" t="n"/>
      <c r="G34" s="8" t="n"/>
      <c r="H34" s="8" t="n"/>
    </row>
    <row r="35">
      <c r="A35" s="6" t="inlineStr">
        <is>
          <t>FAQ (seção 5)</t>
        </is>
      </c>
      <c r="B35" s="6" t="inlineStr">
        <is>
          <t>Como funciona um medidor eletromagnético?</t>
        </is>
      </c>
      <c r="C35" s="6" t="inlineStr">
        <is>
          <t>FAQ do hub</t>
        </is>
      </c>
      <c r="D35" s="6" t="inlineStr">
        <is>
          <t>-</t>
        </is>
      </c>
      <c r="E35" s="8" t="n"/>
      <c r="F35" s="8" t="n"/>
      <c r="G35" s="8" t="n"/>
      <c r="H35" s="8" t="n"/>
    </row>
    <row r="36">
      <c r="A36" s="6" t="inlineStr">
        <is>
          <t>FAQ (seção 5)</t>
        </is>
      </c>
      <c r="B36" s="6" t="inlineStr">
        <is>
          <t>Quais fluidos um medidor eletromagnético consegue medir?</t>
        </is>
      </c>
      <c r="C36" s="6" t="inlineStr">
        <is>
          <t>FAQ do hub</t>
        </is>
      </c>
      <c r="D36" s="6" t="inlineStr">
        <is>
          <t>-</t>
        </is>
      </c>
      <c r="E36" s="8" t="n"/>
      <c r="F36" s="8" t="n"/>
      <c r="G36" s="8" t="n"/>
      <c r="H36" s="8" t="n"/>
    </row>
    <row r="37">
      <c r="A37" s="6" t="inlineStr">
        <is>
          <t>FAQ (seção 5)</t>
        </is>
      </c>
      <c r="B37" s="6" t="inlineStr">
        <is>
          <t>Medidor eletromagnético mede água destilada, óleo ou gás? (resposta: não para fluidos não condutivos — explicar o porquê)</t>
        </is>
      </c>
      <c r="C37" s="6" t="inlineStr">
        <is>
          <t>FAQ do hub</t>
        </is>
      </c>
      <c r="D37" s="6" t="inlineStr">
        <is>
          <t>-</t>
        </is>
      </c>
      <c r="E37" s="8" t="n"/>
      <c r="F37" s="8" t="n"/>
      <c r="G37" s="8" t="n"/>
      <c r="H37" s="8" t="n"/>
    </row>
    <row r="38">
      <c r="A38" s="6" t="inlineStr">
        <is>
          <t>FAQ (seção 5)</t>
        </is>
      </c>
      <c r="B38" s="6" t="inlineStr">
        <is>
          <t>Medidor eletromagnético funciona com líquidos com sólidos em suspensão?</t>
        </is>
      </c>
      <c r="C38" s="6" t="inlineStr">
        <is>
          <t>FAQ do hub</t>
        </is>
      </c>
      <c r="D38" s="6" t="inlineStr">
        <is>
          <t>-</t>
        </is>
      </c>
      <c r="E38" s="8" t="n"/>
      <c r="F38" s="8" t="n"/>
      <c r="G38" s="8" t="n"/>
      <c r="H38" s="8" t="n"/>
    </row>
    <row r="39">
      <c r="A39" s="6" t="inlineStr">
        <is>
          <t>FAQ (seção 5)</t>
        </is>
      </c>
      <c r="B39" s="6" t="inlineStr">
        <is>
          <t>Por que o medidor eletromagnético não tem partes móveis e o que isso muda na manutenção?</t>
        </is>
      </c>
      <c r="C39" s="6" t="inlineStr">
        <is>
          <t>FAQ do hub</t>
        </is>
      </c>
      <c r="D39" s="6" t="inlineStr">
        <is>
          <t>-</t>
        </is>
      </c>
      <c r="E39" s="8" t="n"/>
      <c r="F39" s="8" t="n"/>
      <c r="G39" s="8" t="n"/>
      <c r="H39" s="8" t="n"/>
    </row>
    <row r="40">
      <c r="A40" s="6" t="inlineStr">
        <is>
          <t>FAQ (seção 5)</t>
        </is>
      </c>
      <c r="B40" s="6" t="inlineStr">
        <is>
          <t>O medidor eletromagnético causa perda de carga?</t>
        </is>
      </c>
      <c r="C40" s="6" t="inlineStr">
        <is>
          <t>FAQ do hub</t>
        </is>
      </c>
      <c r="D40" s="6" t="inlineStr">
        <is>
          <t>-</t>
        </is>
      </c>
      <c r="E40" s="8" t="n"/>
      <c r="F40" s="8" t="n"/>
      <c r="G40" s="8" t="n"/>
      <c r="H40" s="8" t="n"/>
    </row>
    <row r="41">
      <c r="A41" s="6" t="inlineStr">
        <is>
          <t>FAQ (seção 5)</t>
        </is>
      </c>
      <c r="B41" s="6" t="inlineStr">
        <is>
          <t>O tubo precisa estar sempre cheio?</t>
        </is>
      </c>
      <c r="C41" s="6" t="inlineStr">
        <is>
          <t>FAQ do hub</t>
        </is>
      </c>
      <c r="D41" s="6" t="inlineStr">
        <is>
          <t>-</t>
        </is>
      </c>
      <c r="E41" s="8" t="n"/>
      <c r="F41" s="8" t="n"/>
      <c r="G41" s="8" t="n"/>
      <c r="H41" s="8" t="n"/>
    </row>
    <row r="42">
      <c r="A42" s="6" t="inlineStr">
        <is>
          <t>FAQ (seção 5)</t>
        </is>
      </c>
      <c r="B42" s="6" t="inlineStr">
        <is>
          <t>Pode ser instalado na vertical?</t>
        </is>
      </c>
      <c r="C42" s="6" t="inlineStr">
        <is>
          <t>FAQ do hub</t>
        </is>
      </c>
      <c r="D42" s="6" t="inlineStr">
        <is>
          <t>-</t>
        </is>
      </c>
      <c r="E42" s="8" t="n"/>
      <c r="F42" s="8" t="n"/>
      <c r="G42" s="8" t="n"/>
      <c r="H42" s="8" t="n"/>
    </row>
    <row r="43">
      <c r="A43" s="6" t="inlineStr">
        <is>
          <t>FAQ (seção 5)</t>
        </is>
      </c>
      <c r="B43" s="6" t="inlineStr">
        <is>
          <t>Mede vazão nos dois sentidos (bidirecional)?</t>
        </is>
      </c>
      <c r="C43" s="6" t="inlineStr">
        <is>
          <t>FAQ do hub</t>
        </is>
      </c>
      <c r="D43" s="6" t="inlineStr">
        <is>
          <t>-</t>
        </is>
      </c>
      <c r="E43" s="8" t="n"/>
      <c r="F43" s="8" t="n"/>
      <c r="G43" s="8" t="n"/>
      <c r="H43" s="8" t="n"/>
    </row>
    <row r="44">
      <c r="A44" s="6" t="inlineStr">
        <is>
          <t>FAQ (seção 5)</t>
        </is>
      </c>
      <c r="B44" s="6" t="inlineStr">
        <is>
          <t>Qual a precisão de um medidor eletromagnético Techmeter?</t>
        </is>
      </c>
      <c r="C44" s="6" t="inlineStr">
        <is>
          <t>★ depende de dados Techmeter</t>
        </is>
      </c>
      <c r="D44" s="6" t="inlineStr">
        <is>
          <t>-</t>
        </is>
      </c>
      <c r="E44" s="8" t="n"/>
      <c r="F44" s="8" t="n"/>
      <c r="G44" s="8" t="n"/>
      <c r="H44" s="8" t="n"/>
    </row>
    <row r="45">
      <c r="A45" s="6" t="inlineStr">
        <is>
          <t>FAQ (seção 5)</t>
        </is>
      </c>
      <c r="B45" s="6" t="inlineStr">
        <is>
          <t>Quais diâmetros (DN) a Techmeter fornece?</t>
        </is>
      </c>
      <c r="C45" s="6" t="inlineStr">
        <is>
          <t>★ depende de dados Techmeter</t>
        </is>
      </c>
      <c r="D45" s="6" t="inlineStr">
        <is>
          <t>-</t>
        </is>
      </c>
      <c r="E45" s="8" t="n"/>
      <c r="F45" s="8" t="n"/>
      <c r="G45" s="8" t="n"/>
      <c r="H45" s="8" t="n"/>
    </row>
    <row r="46">
      <c r="A46" s="6" t="inlineStr">
        <is>
          <t>FAQ (seção 5)</t>
        </is>
      </c>
      <c r="B46" s="6" t="inlineStr">
        <is>
          <t>Quais saídas e protocolos estão disponíveis (4–20 mA, pulso, HART, Modbus etc.)?</t>
        </is>
      </c>
      <c r="C46" s="6" t="inlineStr">
        <is>
          <t>★ depende de dados Techmeter</t>
        </is>
      </c>
      <c r="D46" s="6" t="inlineStr">
        <is>
          <t>-</t>
        </is>
      </c>
      <c r="E46" s="8" t="n"/>
      <c r="F46" s="8" t="n"/>
      <c r="G46" s="8" t="n"/>
      <c r="H46" s="8" t="n"/>
    </row>
    <row r="47">
      <c r="A47" s="6" t="inlineStr">
        <is>
          <t>FAQ (seção 5)</t>
        </is>
      </c>
      <c r="B47" s="6" t="inlineStr">
        <is>
          <t>Existe versão remota (conversor separado do sensor) e versão alimentada por bateria?</t>
        </is>
      </c>
      <c r="C47" s="6" t="inlineStr">
        <is>
          <t>★ depende de dados Techmeter</t>
        </is>
      </c>
      <c r="D47" s="6" t="inlineStr">
        <is>
          <t>-</t>
        </is>
      </c>
      <c r="E47" s="8" t="n"/>
      <c r="F47" s="8" t="n"/>
      <c r="G47" s="8" t="n"/>
      <c r="H47" s="8" t="n"/>
    </row>
    <row r="48">
      <c r="A48" s="6" t="inlineStr">
        <is>
          <t>FAQ (seção 5)</t>
        </is>
      </c>
      <c r="B48" s="6" t="inlineStr">
        <is>
          <t>Com que frequência calibrar e a Techmeter calibra equipamentos de outras marcas?</t>
        </is>
      </c>
      <c r="C48" s="6" t="inlineStr">
        <is>
          <t>★ depende de dados Techmeter</t>
        </is>
      </c>
      <c r="D48" s="6" t="inlineStr">
        <is>
          <t>-</t>
        </is>
      </c>
      <c r="E48" s="8" t="n"/>
      <c r="F48" s="8" t="n"/>
      <c r="G48" s="8" t="n"/>
      <c r="H48" s="8" t="n"/>
    </row>
    <row r="49">
      <c r="A49" s="6" t="inlineStr">
        <is>
          <t>Técnica avançada (seção 6)</t>
        </is>
      </c>
      <c r="B49" s="6" t="inlineStr">
        <is>
          <t>Como a excitação da bobina (DC pulsada × AC) afeta estabilidade e resposta com polpas?</t>
        </is>
      </c>
      <c r="C49" s="6" t="inlineStr">
        <is>
          <t>Engenharia · Artigo técnico</t>
        </is>
      </c>
      <c r="D49" s="6" t="inlineStr">
        <is>
          <t>-</t>
        </is>
      </c>
      <c r="E49" s="8" t="n"/>
      <c r="F49" s="8" t="n"/>
      <c r="G49" s="8" t="n"/>
      <c r="H49" s="8" t="n"/>
    </row>
    <row r="50">
      <c r="A50" s="6" t="inlineStr">
        <is>
          <t>Técnica avançada (seção 6)</t>
        </is>
      </c>
      <c r="B50" s="6" t="inlineStr">
        <is>
          <t>Como o ruído de polpa e o acúmulo nos eletrodos afetam a medição e como mitigar?</t>
        </is>
      </c>
      <c r="C50" s="6" t="inlineStr">
        <is>
          <t>Campo / assistência · Artigo + caso real</t>
        </is>
      </c>
      <c r="D50" s="6" t="inlineStr">
        <is>
          <t>-</t>
        </is>
      </c>
      <c r="E50" s="8" t="n"/>
      <c r="F50" s="8" t="n"/>
      <c r="G50" s="8" t="n"/>
      <c r="H50" s="8" t="n"/>
    </row>
    <row r="51">
      <c r="A51" s="6" t="inlineStr">
        <is>
          <t>Técnica avançada (seção 6)</t>
        </is>
      </c>
      <c r="B51" s="6" t="inlineStr">
        <is>
          <t>Como aterrar corretamente em tubulação de PVC, PEAD ou aço revestido?</t>
        </is>
      </c>
      <c r="C51" s="6" t="inlineStr">
        <is>
          <t>Campo · Guia com diagrama</t>
        </is>
      </c>
      <c r="D51" s="6" t="inlineStr">
        <is>
          <t>-</t>
        </is>
      </c>
      <c r="E51" s="8" t="n"/>
      <c r="F51" s="8" t="n"/>
      <c r="G51" s="8" t="n"/>
      <c r="H51" s="8" t="n"/>
    </row>
    <row r="52">
      <c r="A52" s="6" t="inlineStr">
        <is>
          <t>Técnica avançada (seção 6)</t>
        </is>
      </c>
      <c r="B52" s="6" t="inlineStr">
        <is>
          <t>Como detectar tubo vazio ou parcialmente cheio e o que o conversor faz nesse caso?</t>
        </is>
      </c>
      <c r="C52" s="6" t="inlineStr">
        <is>
          <t>Engenharia · FAQ + vídeo curto</t>
        </is>
      </c>
      <c r="D52" s="6" t="inlineStr">
        <is>
          <t>-</t>
        </is>
      </c>
      <c r="E52" s="8" t="n"/>
      <c r="F52" s="8" t="n"/>
      <c r="G52" s="8" t="n"/>
      <c r="H52" s="8" t="n"/>
    </row>
    <row r="53">
      <c r="A53" s="6" t="inlineStr">
        <is>
          <t>Técnica avançada (seção 6)</t>
        </is>
      </c>
      <c r="B53" s="6" t="inlineStr">
        <is>
          <t>Qual a velocidade de escoamento ideal e o que acontece abaixo de 0,3 m/s ou acima de 10 m/s?</t>
        </is>
      </c>
      <c r="C53" s="6" t="inlineStr">
        <is>
          <t>Engenharia (validar faixas) · Tabela no guia de dimensionamento</t>
        </is>
      </c>
      <c r="D53" s="6" t="inlineStr">
        <is>
          <t>-</t>
        </is>
      </c>
      <c r="E53" s="8" t="n"/>
      <c r="F53" s="8" t="n"/>
      <c r="G53" s="8" t="n"/>
      <c r="H53" s="8" t="n"/>
    </row>
    <row r="54">
      <c r="A54" s="6" t="inlineStr">
        <is>
          <t>Técnica avançada (seção 6)</t>
        </is>
      </c>
      <c r="B54" s="6" t="inlineStr">
        <is>
          <t>Quando usar redução de diâmetro para aumentar a velocidade, e qual o impacto na perda de carga?</t>
        </is>
      </c>
      <c r="C54" s="6" t="inlineStr">
        <is>
          <t>Engenharia · Guia de dimensionamento</t>
        </is>
      </c>
      <c r="D54" s="6" t="inlineStr">
        <is>
          <t>-</t>
        </is>
      </c>
      <c r="E54" s="8" t="n"/>
      <c r="F54" s="8" t="n"/>
      <c r="G54" s="8" t="n"/>
      <c r="H54" s="8" t="n"/>
    </row>
    <row r="55">
      <c r="A55" s="6" t="inlineStr">
        <is>
          <t>Técnica avançada (seção 6)</t>
        </is>
      </c>
      <c r="B55" s="6" t="inlineStr">
        <is>
          <t>Como escolher revestimento para água com cloro, polpa abrasiva ou temperatura elevada?</t>
        </is>
      </c>
      <c r="C55" s="6" t="inlineStr">
        <is>
          <t>Engenharia · Tabela de compatibilidade</t>
        </is>
      </c>
      <c r="D55" s="6" t="inlineStr">
        <is>
          <t>-</t>
        </is>
      </c>
      <c r="E55" s="8" t="n"/>
      <c r="F55" s="8" t="n"/>
      <c r="G55" s="8" t="n"/>
      <c r="H55" s="8" t="n"/>
    </row>
    <row r="56">
      <c r="A56" s="6" t="inlineStr">
        <is>
          <t>Técnica avançada (seção 6)</t>
        </is>
      </c>
      <c r="B56" s="6" t="inlineStr">
        <is>
          <t>Como verificar um medidor em campo sem removê-lo da linha?</t>
        </is>
      </c>
      <c r="C56" s="6" t="inlineStr">
        <is>
          <t>Laboratório de calibração · Artigo + vídeo</t>
        </is>
      </c>
      <c r="D56" s="6" t="inlineStr">
        <is>
          <t>-</t>
        </is>
      </c>
      <c r="E56" s="8" t="n"/>
      <c r="F56" s="8" t="n"/>
      <c r="G56" s="8" t="n"/>
      <c r="H56" s="8" t="n"/>
    </row>
    <row r="57">
      <c r="A57" s="6" t="inlineStr">
        <is>
          <t>Técnica avançada (seção 6)</t>
        </is>
      </c>
      <c r="B57" s="6" t="inlineStr">
        <is>
          <t>Como funciona a calibração em bancada e o que o certificado deve conter?</t>
        </is>
      </c>
      <c r="C57" s="6" t="inlineStr">
        <is>
          <t>Laboratório de calibração · Página de serviço + FAQ</t>
        </is>
      </c>
      <c r="D57" s="6" t="inlineStr">
        <is>
          <t>-</t>
        </is>
      </c>
      <c r="E57" s="8" t="n"/>
      <c r="F57" s="8" t="n"/>
      <c r="G57" s="8" t="n"/>
      <c r="H57" s="8" t="n"/>
    </row>
    <row r="58">
      <c r="A58" s="6" t="inlineStr">
        <is>
          <t>Técnica avançada (seção 6)</t>
        </is>
      </c>
      <c r="B58" s="6" t="inlineStr">
        <is>
          <t>Quais são os 5 erros de instalação mais comuns que a Techmeter encontra no start-up?</t>
        </is>
      </c>
      <c r="C58" s="6" t="inlineStr">
        <is>
          <t>Campo / comissionamento · Artigo "erros comuns" + Reel</t>
        </is>
      </c>
      <c r="D58" s="6" t="inlineStr">
        <is>
          <t>-</t>
        </is>
      </c>
      <c r="E58" s="8" t="n"/>
      <c r="F58" s="8" t="n"/>
      <c r="G58" s="8" t="n"/>
      <c r="H58" s="8" t="n"/>
    </row>
    <row r="59">
      <c r="A59" s="6" t="inlineStr">
        <is>
          <t>Técnica avançada (seção 6)</t>
        </is>
      </c>
      <c r="B59" s="6" t="inlineStr">
        <is>
          <t>Quais requisitos se aplicam ao medidor usado para outorga de uso de água?</t>
        </is>
      </c>
      <c r="C59" s="6" t="inlineStr">
        <is>
          <t>Engenharia + regulatório (validar órgão/estado) · Página de aplicação</t>
        </is>
      </c>
      <c r="D59" s="6" t="inlineStr">
        <is>
          <t>-</t>
        </is>
      </c>
      <c r="E59" s="8" t="n"/>
      <c r="F59" s="8" t="n"/>
      <c r="G59" s="8" t="n"/>
      <c r="H59" s="8" t="n"/>
    </row>
    <row r="60">
      <c r="A60" s="6" t="inlineStr">
        <is>
          <t>Técnica avançada (seção 6)</t>
        </is>
      </c>
      <c r="B60" s="6" t="inlineStr">
        <is>
          <t>Como integrar o conversor a CLP/SCADA ou telemetria?</t>
        </is>
      </c>
      <c r="C60" s="6" t="inlineStr">
        <is>
          <t>Engenharia / integração · Guia técnico</t>
        </is>
      </c>
      <c r="D60" s="6" t="inlineStr">
        <is>
          <t>-</t>
        </is>
      </c>
      <c r="E60" s="8" t="n"/>
      <c r="F60" s="8" t="n"/>
      <c r="G60" s="8" t="n"/>
      <c r="H60" s="8" t="n"/>
    </row>
  </sheetData>
  <autoFilter ref="A3:H60"/>
  <mergeCells count="1">
    <mergeCell ref="A1:H1"/>
  </mergeCells>
  <conditionalFormatting sqref="E4:E60">
    <cfRule type="cellIs" priority="1" operator="equal" dxfId="0">
      <formula>"Alta"</formula>
    </cfRule>
  </conditionalFormatting>
  <dataValidations count="2">
    <dataValidation sqref="E4:E60" showDropDown="0" showInputMessage="0" showErrorMessage="0" allowBlank="1" type="list">
      <formula1>"Alta,Média,Baixa"</formula1>
    </dataValidation>
    <dataValidation sqref="F4:F60" showDropDown="0" showInputMessage="0" showErrorMessage="0" allowBlank="1" type="list">
      <formula1>"Sim,Não,Talvez"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2026-10-06T13:51:28Z</dcterms:created>
  <dcterms:modified xsi:type="dcterms:W3CDTF">2026-10-06T13:51:28Z</dcterms:modified>
</cp:coreProperties>
</file>